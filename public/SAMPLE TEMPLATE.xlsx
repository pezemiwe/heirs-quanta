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pezemiwe_deloitte_com_ng/Documents/Pictures/"/>
    </mc:Choice>
  </mc:AlternateContent>
  <xr:revisionPtr revIDLastSave="0" documentId="8_{F6A00766-A294-4175-9CC0-084B3EADC90D}" xr6:coauthVersionLast="47" xr6:coauthVersionMax="47" xr10:uidLastSave="{00000000-0000-0000-0000-000000000000}"/>
  <bookViews>
    <workbookView xWindow="-108" yWindow="-108" windowWidth="23256" windowHeight="14616" xr2:uid="{5F91DE0D-4352-4596-B9C4-DA796D2967E8}"/>
  </bookViews>
  <sheets>
    <sheet name="PLACEMENT LESS THAN 90DAYS" sheetId="1" r:id="rId1"/>
    <sheet name="TREASURY BILLS" sheetId="2" r:id="rId2"/>
    <sheet name="PLACEMENTS USD" sheetId="3" r:id="rId3"/>
    <sheet name="QUOTED EQUITY" sheetId="4" r:id="rId4"/>
    <sheet name="FGN BONDS" sheetId="5" r:id="rId5"/>
    <sheet name="CORPORATE BOND" sheetId="6" r:id="rId6"/>
    <sheet name="STATE BON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7" l="1"/>
  <c r="AA4" i="7"/>
  <c r="V4" i="7"/>
  <c r="Z4" i="7"/>
  <c r="Y4" i="7"/>
  <c r="X4" i="7"/>
  <c r="T4" i="7"/>
  <c r="S4" i="7"/>
  <c r="AB4" i="7"/>
  <c r="AC4" i="7"/>
  <c r="V4" i="6"/>
  <c r="V5" i="6"/>
  <c r="V6" i="6"/>
  <c r="V3" i="6"/>
  <c r="U4" i="6"/>
  <c r="U5" i="6"/>
  <c r="U6" i="6"/>
  <c r="U3" i="6"/>
  <c r="T4" i="6"/>
  <c r="T5" i="6"/>
  <c r="T6" i="6"/>
  <c r="T3" i="6"/>
  <c r="R4" i="6"/>
  <c r="R5" i="6"/>
  <c r="R6" i="6"/>
  <c r="R3" i="6"/>
  <c r="S4" i="6"/>
  <c r="S5" i="6"/>
  <c r="S6" i="6"/>
  <c r="S3" i="6"/>
  <c r="X4" i="6"/>
  <c r="W4" i="6" s="1"/>
  <c r="W5" i="6"/>
  <c r="X5" i="6"/>
  <c r="X6" i="6"/>
  <c r="W6" i="6" s="1"/>
  <c r="X3" i="6"/>
  <c r="W3" i="6" s="1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3" i="5"/>
  <c r="AC15" i="5"/>
  <c r="AB15" i="5" s="1"/>
  <c r="AC16" i="5"/>
  <c r="AB16" i="5" s="1"/>
  <c r="AC17" i="5"/>
  <c r="AB17" i="5" s="1"/>
  <c r="AC4" i="5"/>
  <c r="AB4" i="5" s="1"/>
  <c r="AC5" i="5"/>
  <c r="AB5" i="5" s="1"/>
  <c r="AC6" i="5"/>
  <c r="AB6" i="5" s="1"/>
  <c r="AB7" i="5"/>
  <c r="AC7" i="5"/>
  <c r="AC8" i="5"/>
  <c r="AB8" i="5" s="1"/>
  <c r="AC9" i="5"/>
  <c r="AB9" i="5" s="1"/>
  <c r="AC10" i="5"/>
  <c r="AB10" i="5" s="1"/>
  <c r="AC11" i="5"/>
  <c r="AB11" i="5" s="1"/>
  <c r="AC12" i="5"/>
  <c r="AB12" i="5" s="1"/>
  <c r="AC13" i="5"/>
  <c r="AB13" i="5" s="1"/>
  <c r="AC14" i="5"/>
  <c r="AB14" i="5" s="1"/>
  <c r="AC3" i="5"/>
  <c r="AB3" i="5" s="1"/>
  <c r="L5" i="4"/>
  <c r="J5" i="4"/>
  <c r="AH4" i="3"/>
  <c r="AH3" i="3"/>
  <c r="AD4" i="3"/>
  <c r="W4" i="3"/>
  <c r="X4" i="3"/>
  <c r="Y4" i="3"/>
  <c r="Z4" i="3"/>
  <c r="AA4" i="3"/>
  <c r="AB4" i="3"/>
  <c r="W3" i="3"/>
  <c r="T4" i="3"/>
  <c r="T3" i="3"/>
  <c r="M4" i="2"/>
  <c r="P4" i="2" s="1"/>
  <c r="R4" i="2" s="1"/>
  <c r="N4" i="2"/>
  <c r="M5" i="2"/>
  <c r="P5" i="2" s="1"/>
  <c r="R5" i="2" s="1"/>
  <c r="N5" i="2"/>
  <c r="O5" i="2"/>
  <c r="M6" i="2"/>
  <c r="O6" i="2" s="1"/>
  <c r="N6" i="2"/>
  <c r="M7" i="2"/>
  <c r="O7" i="2" s="1"/>
  <c r="N7" i="2"/>
  <c r="M8" i="2"/>
  <c r="P8" i="2" s="1"/>
  <c r="R8" i="2" s="1"/>
  <c r="N8" i="2"/>
  <c r="O8" i="2"/>
  <c r="M9" i="2"/>
  <c r="P9" i="2" s="1"/>
  <c r="R9" i="2" s="1"/>
  <c r="N9" i="2"/>
  <c r="M10" i="2"/>
  <c r="O10" i="2" s="1"/>
  <c r="N10" i="2"/>
  <c r="M11" i="2"/>
  <c r="O11" i="2" s="1"/>
  <c r="N11" i="2"/>
  <c r="P11" i="2"/>
  <c r="R11" i="2" s="1"/>
  <c r="L14" i="2"/>
  <c r="N3" i="2"/>
  <c r="M3" i="2"/>
  <c r="P3" i="2" s="1"/>
  <c r="R3" i="2" s="1"/>
  <c r="L5" i="1"/>
  <c r="L6" i="1"/>
  <c r="L7" i="1"/>
  <c r="G8" i="1"/>
  <c r="H8" i="1" s="1"/>
  <c r="I8" i="1" s="1"/>
  <c r="J8" i="1" s="1"/>
  <c r="G7" i="1"/>
  <c r="H7" i="1" s="1"/>
  <c r="I7" i="1" s="1"/>
  <c r="J7" i="1" s="1"/>
  <c r="G6" i="1"/>
  <c r="H6" i="1" s="1"/>
  <c r="I6" i="1" s="1"/>
  <c r="J6" i="1" s="1"/>
  <c r="G5" i="1"/>
  <c r="H5" i="1" s="1"/>
  <c r="I5" i="1" s="1"/>
  <c r="J5" i="1" s="1"/>
  <c r="G4" i="1"/>
  <c r="H4" i="1" s="1"/>
  <c r="I4" i="1" s="1"/>
  <c r="J4" i="1" s="1"/>
  <c r="O3" i="2" l="1"/>
  <c r="O4" i="2"/>
  <c r="O9" i="2"/>
  <c r="P6" i="2"/>
  <c r="R6" i="2" s="1"/>
  <c r="O7" i="1"/>
  <c r="N7" i="1" s="1"/>
  <c r="O6" i="1"/>
  <c r="N6" i="1" s="1"/>
  <c r="O5" i="1"/>
  <c r="N5" i="1" s="1"/>
  <c r="O4" i="1"/>
  <c r="N4" i="1" s="1"/>
  <c r="O8" i="1"/>
  <c r="N8" i="1" s="1"/>
  <c r="P7" i="2"/>
  <c r="R7" i="2" s="1"/>
  <c r="P10" i="2"/>
  <c r="R10" i="2" s="1"/>
  <c r="Q4" i="1"/>
  <c r="R4" i="1" s="1"/>
  <c r="Q5" i="1"/>
  <c r="R5" i="1" s="1"/>
  <c r="Q7" i="1"/>
  <c r="R7" i="1" s="1"/>
  <c r="K7" i="1" s="1"/>
  <c r="Q8" i="1"/>
  <c r="R8" i="1" s="1"/>
  <c r="Q6" i="1"/>
  <c r="R6" i="1" s="1"/>
  <c r="K6" i="1" s="1"/>
  <c r="K5" i="1" l="1"/>
  <c r="K8" i="1"/>
  <c r="P8" i="1" s="1"/>
  <c r="M5" i="1"/>
  <c r="P5" i="1"/>
  <c r="L8" i="1"/>
  <c r="M8" i="1" s="1"/>
  <c r="M7" i="1"/>
  <c r="P7" i="1"/>
  <c r="K4" i="1"/>
  <c r="P4" i="1" s="1"/>
  <c r="M6" i="1"/>
  <c r="P6" i="1"/>
  <c r="L4" i="1"/>
  <c r="M4" i="1" l="1"/>
  <c r="Y3" i="3" l="1"/>
  <c r="Z3" i="3"/>
  <c r="AA3" i="3"/>
  <c r="X3" i="3"/>
  <c r="AD3" i="3" l="1"/>
  <c r="AB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tc={503C8F34-5BA4-4492-B5C6-6DB742DE3814}</author>
    <author>tc={CB3FF84A-B7BD-45BB-AB4E-637804BC4CC8}</author>
    <author>tc={C5BA89CC-2A19-4222-8916-A8891CFE4F26}</author>
    <author>tc={A589C84C-5782-41CC-ADFA-61F9208F49D3}</author>
  </authors>
  <commentList>
    <comment ref="AC2" authorId="0" shapeId="0" xr:uid="{503C8F34-5BA4-4492-B5C6-6DB742DE3814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the prev month exchange gain, or prev month opening and closing exchange rate</t>
      </text>
    </comment>
    <comment ref="AF2" authorId="1" shapeId="0" xr:uid="{CB3FF84A-B7BD-45BB-AB4E-637804BC4CC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from Jan is not available</t>
      </text>
    </comment>
    <comment ref="AG2" authorId="2" shapeId="0" xr:uid="{C5BA89CC-2A19-4222-8916-A8891CFE4F2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from Jan is not available</t>
      </text>
    </comment>
    <comment ref="N3" authorId="3" shapeId="0" xr:uid="{A589C84C-5782-41CC-ADFA-61F9208F49D3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agree with the interest receivables calculated from the information of 6710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tc={58DBB096-0D62-40F1-9C93-38CC4A87DA9F}</author>
    <author>tc={CC0D7E43-59CA-4523-85E9-7B5C00502CF6}</author>
    <author>tc={4601F719-7AC9-4D61-AF56-961B0C04C777}</author>
    <author>tc={85DDF09E-58D6-4888-B3ED-31F96F681D6D}</author>
    <author>tc={9ACC9077-452F-4174-BC20-277C93583D4D}</author>
  </authors>
  <commentList>
    <comment ref="K2" authorId="0" shapeId="0" xr:uid="{58DBB096-0D62-40F1-9C93-38CC4A87DA9F}">
      <text>
        <t>[Threaded comment]
Your version of Excel allows you to read this threaded comment; however, any edits to it will get removed if the file is opened in a newer version of Excel. Learn more: https://go.microsoft.com/fwlink/?linkid=870924
Comment:
    Carryforward item from prev month</t>
      </text>
    </comment>
    <comment ref="M2" authorId="1" shapeId="0" xr:uid="{CC0D7E43-59CA-4523-85E9-7B5C00502CF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Dependent on Opening Gain/(Loss) column K</t>
      </text>
    </comment>
    <comment ref="N2" authorId="2" shapeId="0" xr:uid="{4601F719-7AC9-4D61-AF56-961B0C04C777}">
      <text>
        <t>[Threaded comment]
Your version of Excel allows you to read this threaded comment; however, any edits to it will get removed if the file is opened in a newer version of Excel. Learn more: https://go.microsoft.com/fwlink/?linkid=870924
Comment:
    Dividend information not available</t>
      </text>
    </comment>
    <comment ref="P2" authorId="3" shapeId="0" xr:uid="{85DDF09E-58D6-4888-B3ED-31F96F681D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Dividend information</t>
      </text>
    </comment>
    <comment ref="Q2" authorId="4" shapeId="0" xr:uid="{9ACC9077-452F-4174-BC20-277C93583D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Dividend information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tc={06002B0D-2518-455D-84A2-D01F37CB06BD}</author>
    <author>tc={4D12293B-333B-4CD3-8770-F95029DAC5C1}</author>
    <author>tc={F6F74741-E205-4148-8360-6CFD11AA1E54}</author>
    <author>tc={303D7F03-16C7-4D68-88E8-6D4EA8C5813E}</author>
    <author>tc={ECE72D01-936B-4CF5-BD46-5BE235859041}</author>
  </authors>
  <commentList>
    <comment ref="V2" authorId="0" shapeId="0" xr:uid="{06002B0D-2518-455D-84A2-D01F37CB06B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computed based on the expectations. Actual received experience might differ</t>
      </text>
    </comment>
    <comment ref="W2" authorId="1" shapeId="0" xr:uid="{4D12293B-333B-4CD3-8770-F95029DAC5C1}">
      <text>
        <t>[Threaded comment]
Your version of Excel allows you to read this threaded comment; however, any edits to it will get removed if the file is opened in a newer version of Excel. Learn more: https://go.microsoft.com/fwlink/?linkid=870924
Comment:
    Carryforward item</t>
      </text>
    </comment>
    <comment ref="Y2" authorId="2" shapeId="0" xr:uid="{F6F74741-E205-4148-8360-6CFD11AA1E5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Coupon dates information required</t>
      </text>
    </comment>
    <comment ref="Z2" authorId="3" shapeId="0" xr:uid="{303D7F03-16C7-4D68-88E8-6D4EA8C581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Coupon dates information needed</t>
      </text>
    </comment>
    <comment ref="AD2" authorId="4" shapeId="0" xr:uid="{ECE72D01-936B-4CF5-BD46-5BE235859041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 Information is required from here onwards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tc={FE152899-D3BA-4B2C-A2FA-23A6B6471FA2}</author>
  </authors>
  <commentList>
    <comment ref="Y2" authorId="0" shapeId="0" xr:uid="{FE152899-D3BA-4B2C-A2FA-23A6B6471FA2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 information is required</t>
      </text>
    </comment>
  </commentList>
</comments>
</file>

<file path=xl/sharedStrings.xml><?xml version="1.0" encoding="utf-8"?>
<sst xmlns="http://schemas.openxmlformats.org/spreadsheetml/2006/main" count="378" uniqueCount="227">
  <si>
    <t>SCHEDULE OF PLACEMENT LESS THAN 90DAYS</t>
  </si>
  <si>
    <t>S/No</t>
  </si>
  <si>
    <t>Identifier</t>
  </si>
  <si>
    <t>Institution</t>
  </si>
  <si>
    <t>Principal</t>
  </si>
  <si>
    <t>Rate</t>
  </si>
  <si>
    <t>Value date</t>
  </si>
  <si>
    <t>Maturity date</t>
  </si>
  <si>
    <t>Tenor</t>
  </si>
  <si>
    <t>Interest Amount</t>
  </si>
  <si>
    <t>Maturity value</t>
  </si>
  <si>
    <t>This month Interest</t>
  </si>
  <si>
    <t>WHT (10%)</t>
  </si>
  <si>
    <t>This month Interest (Net)</t>
  </si>
  <si>
    <t>Opening Amortised Cost</t>
  </si>
  <si>
    <t>Opening Accrued Income</t>
  </si>
  <si>
    <t>Closing Amortised Cost</t>
  </si>
  <si>
    <t>PLACEMENT 1</t>
  </si>
  <si>
    <t>Union Bank</t>
  </si>
  <si>
    <t>PLACEMENT 2</t>
  </si>
  <si>
    <t>Providus Bank</t>
  </si>
  <si>
    <t>PLACEMENT 3</t>
  </si>
  <si>
    <t>PLACEMENT 4</t>
  </si>
  <si>
    <t>PLACEMENT 5</t>
  </si>
  <si>
    <t>NOVA Merchant Bank limited</t>
  </si>
  <si>
    <t>SCHEDULE OF TREASURY BILLS</t>
  </si>
  <si>
    <t>Dealer</t>
  </si>
  <si>
    <t>Portfolio</t>
  </si>
  <si>
    <t>Description</t>
  </si>
  <si>
    <t>Purchase Cost</t>
  </si>
  <si>
    <t>Value Date</t>
  </si>
  <si>
    <t>Maturity Date</t>
  </si>
  <si>
    <t>Interest Rate</t>
  </si>
  <si>
    <t xml:space="preserve">Facevalue </t>
  </si>
  <si>
    <t>Price on purchase</t>
  </si>
  <si>
    <t>Interest receivable</t>
  </si>
  <si>
    <t>Effective Interest rate</t>
  </si>
  <si>
    <t>Interest Income for the month (Income Leg)</t>
  </si>
  <si>
    <t>Closing Accrued Interest  (Asset Leg)</t>
  </si>
  <si>
    <t>Market Bid Discount Rate</t>
  </si>
  <si>
    <t>Current Market Value</t>
  </si>
  <si>
    <t>Current Market to Mark Gain/loss (Asset Leg)</t>
  </si>
  <si>
    <t>Monthly Mark to Market to post (Income Leg)</t>
  </si>
  <si>
    <t>CMB</t>
  </si>
  <si>
    <t>TB1</t>
  </si>
  <si>
    <t>Other PHF</t>
  </si>
  <si>
    <t>Treasury Bills</t>
  </si>
  <si>
    <t>DLM</t>
  </si>
  <si>
    <t>TB2</t>
  </si>
  <si>
    <t>UCAP Securities</t>
  </si>
  <si>
    <t>TB3</t>
  </si>
  <si>
    <t>TB4</t>
  </si>
  <si>
    <t>TB5</t>
  </si>
  <si>
    <t>TB6</t>
  </si>
  <si>
    <t>TB7</t>
  </si>
  <si>
    <t>TB8</t>
  </si>
  <si>
    <t>Annuity funds</t>
  </si>
  <si>
    <t>TB9</t>
  </si>
  <si>
    <t>SCHEDULE OF PLACEMENT USD</t>
  </si>
  <si>
    <t>Currency</t>
  </si>
  <si>
    <t>Asset class</t>
  </si>
  <si>
    <t>Principal USD ($)</t>
  </si>
  <si>
    <t xml:space="preserve">Exchange rate @ purchase </t>
  </si>
  <si>
    <t>Principal  (N)</t>
  </si>
  <si>
    <t>Interest Receivable ($)</t>
  </si>
  <si>
    <t>Interest Receivable (N)</t>
  </si>
  <si>
    <t>Maturity Value ($)</t>
  </si>
  <si>
    <t>Accrued Interest ($)</t>
  </si>
  <si>
    <t>Accrued Interest (N)</t>
  </si>
  <si>
    <t>THIS MONTH</t>
  </si>
  <si>
    <t>This Month  Interest Income (USD)</t>
  </si>
  <si>
    <t>Opening Exchange rate</t>
  </si>
  <si>
    <t>Current Exchange rate 31ST MAY  2026</t>
  </si>
  <si>
    <t>OPENING  ACCRUED INCOME (USD)</t>
  </si>
  <si>
    <t>OPENING  ACCRUED INCOME (NAIRA)</t>
  </si>
  <si>
    <t>OPENING AMORTISED COST (NAIRA)   2025</t>
  </si>
  <si>
    <t>OPENING AMORTISED COST (USD) 2025</t>
  </si>
  <si>
    <t>CLOSING ACCRUED INCOME  (USD)</t>
  </si>
  <si>
    <t>CLOSING ACCRUED INCOME  (NAIRA)</t>
  </si>
  <si>
    <t xml:space="preserve">LAST MONTH EXCHANGE GAIN (NAIRA) </t>
  </si>
  <si>
    <t>THIS MONTH EXCHANGE GAIN /LOSS (NAIRA)</t>
  </si>
  <si>
    <t>TO POST EXCHANGE GAIN  (NAIRA)</t>
  </si>
  <si>
    <t>TOTAL UNREALISED EXCHANGE GAIN/LOSS JAN-DEC 2026</t>
  </si>
  <si>
    <t>TOTAL REALISED EXCHANGE GAIN/LOSS JAN-DEC 2026</t>
  </si>
  <si>
    <t>TOTAL CURRENT MARKET VALUE INCLUSIVE OF EXCHANGE GAIN/LOSS</t>
  </si>
  <si>
    <t>Dealer 1</t>
  </si>
  <si>
    <t>PUSD 1</t>
  </si>
  <si>
    <t>SHF</t>
  </si>
  <si>
    <t>USD</t>
  </si>
  <si>
    <t>Fixed Term Deposit</t>
  </si>
  <si>
    <t>Dealer 2</t>
  </si>
  <si>
    <t>PUSD 2</t>
  </si>
  <si>
    <t>SCHEDULE OF QUOTED EQUITY</t>
  </si>
  <si>
    <t>S/N</t>
  </si>
  <si>
    <t>COMPANY</t>
  </si>
  <si>
    <t>Purchase date</t>
  </si>
  <si>
    <t>Holdings</t>
  </si>
  <si>
    <t>Cost Price Unit</t>
  </si>
  <si>
    <t>COST</t>
  </si>
  <si>
    <t>Closing Market Price at May 2026</t>
  </si>
  <si>
    <t>Current Market Value (Asset Leg)</t>
  </si>
  <si>
    <t>Opening Gain/(Loss)Asset leg</t>
  </si>
  <si>
    <t>Current MTM (Fair value Gain/(Loss)) Asset leg</t>
  </si>
  <si>
    <t>Fair value Gain/(Loss) Income Leg</t>
  </si>
  <si>
    <t>Gross Dividend Received for the month</t>
  </si>
  <si>
    <t>WHT</t>
  </si>
  <si>
    <t>Dividend Received for the month (Net of wht)</t>
  </si>
  <si>
    <t>YTD Dividend Received NET</t>
  </si>
  <si>
    <t>N</t>
  </si>
  <si>
    <t xml:space="preserve">                                                                           </t>
  </si>
  <si>
    <t>QEQU 1</t>
  </si>
  <si>
    <t>UBA</t>
  </si>
  <si>
    <t>QEQU 2</t>
  </si>
  <si>
    <t>PHF</t>
  </si>
  <si>
    <t>UBA Right issue</t>
  </si>
  <si>
    <t>QEQU 3</t>
  </si>
  <si>
    <t>QEQU 4</t>
  </si>
  <si>
    <t>QEQU 5</t>
  </si>
  <si>
    <t>SCHEDULE OF FGN BONDS</t>
  </si>
  <si>
    <t>PORTFOLIO</t>
  </si>
  <si>
    <t>IDENTIFIER/DEAL ID</t>
  </si>
  <si>
    <t>DESCRIPTION</t>
  </si>
  <si>
    <t>VALUE DATE</t>
  </si>
  <si>
    <t>MATURITY DATE</t>
  </si>
  <si>
    <t>COUPON RATE</t>
  </si>
  <si>
    <t>YIELD AT PURCHASE</t>
  </si>
  <si>
    <t>UNITS</t>
  </si>
  <si>
    <t>COST AT PAR</t>
  </si>
  <si>
    <t>FACE VALUE</t>
  </si>
  <si>
    <t>DIRTY PRICE AT PURCHASE</t>
  </si>
  <si>
    <t>COST PRICE AT PURCHASE</t>
  </si>
  <si>
    <t xml:space="preserve">COST </t>
  </si>
  <si>
    <t>PREMIUM /(DISCOUNT)</t>
  </si>
  <si>
    <t>CONSIDERATION AT PURCHASE</t>
  </si>
  <si>
    <t>CONSIDERATION AT PURCHASE INCLUSIVE OF FMDQ AND SEC CHARGES</t>
  </si>
  <si>
    <t>ACCRUED INTEREST PAID AT ACQUISITION</t>
  </si>
  <si>
    <t>TOTAL COUPON RECEIVED TO DATE</t>
  </si>
  <si>
    <t>LAST MONTH ACCRUED INTEREST</t>
  </si>
  <si>
    <t>EFFECTIVE INTEREST RATE</t>
  </si>
  <si>
    <t>DAYS EARNED IN THE MONTH</t>
  </si>
  <si>
    <t>THIS MONTH INTEREST</t>
  </si>
  <si>
    <t xml:space="preserve">TOTAL ACCRUED INTEREST </t>
  </si>
  <si>
    <t>LAST COUPON DATE</t>
  </si>
  <si>
    <t>NEXT COUPON DATE</t>
  </si>
  <si>
    <t>LAST MONTH MARKET  VALUE (CLEAN)</t>
  </si>
  <si>
    <t>LAST MONTH MARKET YIELD</t>
  </si>
  <si>
    <t>LAST MONTH MARKET PRICE</t>
  </si>
  <si>
    <t>CURRENT MARKET YIELD</t>
  </si>
  <si>
    <t>CURRENT MARKET PRICE</t>
  </si>
  <si>
    <t>ACTUAL CURRENT MARKET VALUE (CLEAN)</t>
  </si>
  <si>
    <t xml:space="preserve">TOTAL CURRENT MARKET VALUE </t>
  </si>
  <si>
    <t xml:space="preserve">CURRENT MARK TO MARKET GAIN /(LOSS) </t>
  </si>
  <si>
    <t>MARK TO MARKET TO POST THIS MONTH</t>
  </si>
  <si>
    <t>FGN 1</t>
  </si>
  <si>
    <t>UCAP SECURITIES</t>
  </si>
  <si>
    <t>16.2499% FGN BOND 18 APR 2037</t>
  </si>
  <si>
    <t>FGN 2</t>
  </si>
  <si>
    <t>13.98% FGN BOND 23 FEB 2028</t>
  </si>
  <si>
    <t>FGN 3</t>
  </si>
  <si>
    <t>12.40% FGN BOND MAR 2036</t>
  </si>
  <si>
    <t>FGN 4</t>
  </si>
  <si>
    <t>ANNUITY</t>
  </si>
  <si>
    <t>FGN 5</t>
  </si>
  <si>
    <t>FGN 6</t>
  </si>
  <si>
    <t>FGN 7</t>
  </si>
  <si>
    <t>FGN 18</t>
  </si>
  <si>
    <t>12.98% FGN BOND MAR 2050</t>
  </si>
  <si>
    <t>FGN 8</t>
  </si>
  <si>
    <t>13.00% FGN BOND JAN 2042</t>
  </si>
  <si>
    <t>FGN 9</t>
  </si>
  <si>
    <t>FGN 17</t>
  </si>
  <si>
    <t>FGN 10</t>
  </si>
  <si>
    <t>FGN 11</t>
  </si>
  <si>
    <t>FGN 12</t>
  </si>
  <si>
    <t>FGN 13</t>
  </si>
  <si>
    <t>FGN 14</t>
  </si>
  <si>
    <t>FGN 15</t>
  </si>
  <si>
    <t>SCHEDULE OF CORPORATE BONDS</t>
  </si>
  <si>
    <t>Bond Name</t>
  </si>
  <si>
    <t>Coupon Rate</t>
  </si>
  <si>
    <t>Yield at Purchase</t>
  </si>
  <si>
    <t>Units Holding</t>
  </si>
  <si>
    <t>Cost at par</t>
  </si>
  <si>
    <t>Face Value</t>
  </si>
  <si>
    <t>Dirty Price</t>
  </si>
  <si>
    <t>Cost Price/Clean price</t>
  </si>
  <si>
    <t>Cost</t>
  </si>
  <si>
    <t>Consideration at Purchase</t>
  </si>
  <si>
    <t>TOTAL Coupon Received to date NET</t>
  </si>
  <si>
    <t>TOTAL COUPON GROSS</t>
  </si>
  <si>
    <t xml:space="preserve">LAST MONTH ACCRUED INTEREST </t>
  </si>
  <si>
    <t xml:space="preserve">THIS MONTH INTEREST </t>
  </si>
  <si>
    <t>TOTAL ACCRUED INTEREST</t>
  </si>
  <si>
    <t>Last Coupon date</t>
  </si>
  <si>
    <t>TOTAL CURRENT MARKET VALUE</t>
  </si>
  <si>
    <t>COR 2</t>
  </si>
  <si>
    <t>UNITED CAPITAL INVESTMENT BANKING</t>
  </si>
  <si>
    <t>15% United Capital Plc Sep 2027 Bond</t>
  </si>
  <si>
    <t>COR 3</t>
  </si>
  <si>
    <t>COR 4</t>
  </si>
  <si>
    <t>COR 5</t>
  </si>
  <si>
    <t>MTN NIGERIA COMMUNICATIONS PLC 13.50% FIXED RATE BONDS DUE 2026</t>
  </si>
  <si>
    <t>SCHEDULE OF STATE BOND</t>
  </si>
  <si>
    <t>Investment Firm</t>
  </si>
  <si>
    <t>Fund type</t>
  </si>
  <si>
    <t xml:space="preserve">Principal Repayment </t>
  </si>
  <si>
    <t>TOTAL Coupon Received to date (Gross)</t>
  </si>
  <si>
    <t>TOTAL Coupon Received to date (Net)</t>
  </si>
  <si>
    <t>Principal repayment for the month</t>
  </si>
  <si>
    <t>GROSS COUPON</t>
  </si>
  <si>
    <t>CHARGES WHT</t>
  </si>
  <si>
    <t>NET COUPON</t>
  </si>
  <si>
    <t>SG 1</t>
  </si>
  <si>
    <t>UNITED CAPITAL INVESTMENT BANKING(CHIKODI )</t>
  </si>
  <si>
    <t>15.25% LASG MAY 2033 Bond</t>
  </si>
  <si>
    <t>Why is the Interest Amount being tracked on a net of WHT basis?</t>
  </si>
  <si>
    <t>The NOVA instument interest amount calculation is not consistent with the others?</t>
  </si>
  <si>
    <t>Accrued Days</t>
  </si>
  <si>
    <t>Current Val data</t>
  </si>
  <si>
    <t>Prev Val Date</t>
  </si>
  <si>
    <t>Interest Accrued to Valuation Date</t>
  </si>
  <si>
    <t>Net/Gross</t>
  </si>
  <si>
    <t>Net</t>
  </si>
  <si>
    <t>Gross</t>
  </si>
  <si>
    <t>Val Date</t>
  </si>
  <si>
    <t>PrevVal Date</t>
  </si>
  <si>
    <t>Number of Coupons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</si>
</sst>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-* #,##0_-;\-* #,##0_-;_-* &quot;-&quot;??_-;_-@_-"/>
    <numFmt numFmtId="168" formatCode="#,##0.00_ ;\-#,##0.00\ "/>
    <numFmt numFmtId="169" formatCode="_-* #,##0.0000_-;\-* #,##0.0000_-;_-* &quot;-&quot;??_-;_-@_-"/>
    <numFmt numFmtId="170" formatCode="_-* #,##0.0_-;\-* #,##0.0_-;_-* &quot;-&quot;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Century Gothic"/>
      <family val="2"/>
    </font>
    <font>
      <sz val="11"/>
      <color theme="1"/>
      <name val="Frutiger LT 45 Light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0"/>
      <color theme="1"/>
      <name val="Aptos Narrow"/>
      <family val="2"/>
      <scheme val="minor"/>
    </font>
    <font>
      <sz val="10"/>
      <name val="Candara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43" fontId="3" fillId="0" borderId="0" xfId="3" applyFont="1" applyFill="1" applyBorder="1"/>
    <xf numFmtId="4" fontId="3" fillId="0" borderId="0" xfId="0" applyNumberFormat="1" applyFont="1" applyAlignment="1">
      <alignment horizontal="right"/>
    </xf>
    <xf numFmtId="15" fontId="3" fillId="0" borderId="0" xfId="0" applyNumberFormat="1" applyFont="1"/>
    <xf numFmtId="10" fontId="3" fillId="0" borderId="0" xfId="0" applyNumberFormat="1" applyFont="1"/>
    <xf numFmtId="164" fontId="3" fillId="0" borderId="0" xfId="2" applyFont="1" applyFill="1"/>
    <xf numFmtId="164" fontId="3" fillId="0" borderId="0" xfId="2" applyFont="1" applyFill="1" applyBorder="1"/>
    <xf numFmtId="43" fontId="3" fillId="3" borderId="0" xfId="3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3" fontId="9" fillId="0" borderId="0" xfId="2" applyNumberFormat="1" applyFont="1" applyFill="1" applyAlignment="1">
      <alignment horizontal="center"/>
    </xf>
    <xf numFmtId="10" fontId="9" fillId="0" borderId="0" xfId="0" applyNumberFormat="1" applyFont="1" applyAlignment="1">
      <alignment horizontal="right"/>
    </xf>
    <xf numFmtId="15" fontId="9" fillId="0" borderId="0" xfId="0" applyNumberFormat="1" applyFont="1"/>
    <xf numFmtId="0" fontId="9" fillId="0" borderId="0" xfId="0" applyFont="1"/>
    <xf numFmtId="164" fontId="9" fillId="0" borderId="0" xfId="2" applyFont="1" applyFill="1" applyBorder="1"/>
    <xf numFmtId="10" fontId="9" fillId="0" borderId="0" xfId="1" applyNumberFormat="1" applyFont="1" applyFill="1" applyBorder="1"/>
    <xf numFmtId="0" fontId="7" fillId="3" borderId="0" xfId="0" applyFont="1" applyFill="1"/>
    <xf numFmtId="164" fontId="7" fillId="3" borderId="0" xfId="2" applyFont="1" applyFill="1" applyBorder="1" applyAlignment="1"/>
    <xf numFmtId="0" fontId="8" fillId="3" borderId="0" xfId="0" applyFont="1" applyFill="1"/>
    <xf numFmtId="0" fontId="7" fillId="3" borderId="0" xfId="0" applyFont="1" applyFill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4" applyFont="1" applyAlignment="1">
      <alignment horizontal="center"/>
    </xf>
    <xf numFmtId="0" fontId="10" fillId="0" borderId="0" xfId="0" applyFont="1"/>
    <xf numFmtId="3" fontId="3" fillId="0" borderId="0" xfId="0" applyNumberFormat="1" applyFont="1"/>
    <xf numFmtId="164" fontId="3" fillId="0" borderId="0" xfId="2" applyFont="1" applyFill="1" applyBorder="1" applyAlignment="1"/>
    <xf numFmtId="164" fontId="3" fillId="0" borderId="0" xfId="0" applyNumberFormat="1" applyFont="1"/>
    <xf numFmtId="164" fontId="3" fillId="0" borderId="0" xfId="2" applyFont="1" applyFill="1" applyAlignment="1"/>
    <xf numFmtId="4" fontId="3" fillId="0" borderId="0" xfId="0" applyNumberFormat="1" applyFont="1"/>
    <xf numFmtId="0" fontId="6" fillId="0" borderId="0" xfId="0" applyFont="1"/>
    <xf numFmtId="4" fontId="3" fillId="0" borderId="0" xfId="2" applyNumberFormat="1" applyFont="1" applyFill="1" applyAlignment="1"/>
    <xf numFmtId="164" fontId="11" fillId="0" borderId="0" xfId="2" applyFont="1" applyFill="1" applyBorder="1" applyAlignment="1"/>
    <xf numFmtId="0" fontId="11" fillId="0" borderId="0" xfId="0" applyFont="1"/>
    <xf numFmtId="10" fontId="11" fillId="0" borderId="0" xfId="0" applyNumberFormat="1" applyFont="1"/>
    <xf numFmtId="164" fontId="11" fillId="0" borderId="0" xfId="2" applyFont="1" applyFill="1" applyAlignment="1"/>
    <xf numFmtId="2" fontId="11" fillId="0" borderId="0" xfId="0" applyNumberFormat="1" applyFont="1"/>
    <xf numFmtId="0" fontId="5" fillId="0" borderId="0" xfId="4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0" fontId="5" fillId="0" borderId="0" xfId="1" applyNumberFormat="1" applyFont="1" applyFill="1" applyBorder="1" applyAlignment="1">
      <alignment horizontal="center" wrapText="1"/>
    </xf>
    <xf numFmtId="10" fontId="5" fillId="0" borderId="0" xfId="1" quotePrefix="1" applyNumberFormat="1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166" fontId="5" fillId="3" borderId="0" xfId="2" quotePrefix="1" applyNumberFormat="1" applyFont="1" applyFill="1" applyBorder="1" applyAlignment="1">
      <alignment horizontal="center" wrapText="1"/>
    </xf>
    <xf numFmtId="166" fontId="5" fillId="3" borderId="0" xfId="2" applyNumberFormat="1" applyFont="1" applyFill="1" applyBorder="1" applyAlignment="1">
      <alignment horizontal="center" wrapText="1"/>
    </xf>
    <xf numFmtId="10" fontId="5" fillId="3" borderId="0" xfId="1" applyNumberFormat="1" applyFont="1" applyFill="1" applyBorder="1" applyAlignment="1">
      <alignment horizontal="center" wrapText="1"/>
    </xf>
    <xf numFmtId="0" fontId="5" fillId="3" borderId="0" xfId="4" applyFont="1" applyFill="1" applyAlignment="1">
      <alignment horizontal="center" wrapText="1"/>
    </xf>
    <xf numFmtId="0" fontId="10" fillId="3" borderId="0" xfId="0" applyFont="1" applyFill="1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4" applyFont="1" applyAlignment="1">
      <alignment horizontal="left"/>
    </xf>
    <xf numFmtId="10" fontId="5" fillId="0" borderId="0" xfId="1" applyNumberFormat="1" applyFont="1" applyFill="1" applyAlignment="1">
      <alignment horizontal="center" wrapText="1"/>
    </xf>
    <xf numFmtId="166" fontId="5" fillId="2" borderId="0" xfId="2" applyNumberFormat="1" applyFont="1" applyFill="1" applyAlignment="1">
      <alignment horizontal="center" wrapText="1"/>
    </xf>
    <xf numFmtId="166" fontId="5" fillId="2" borderId="0" xfId="2" applyNumberFormat="1" applyFont="1" applyFill="1" applyBorder="1" applyAlignment="1">
      <alignment horizontal="center" wrapText="1"/>
    </xf>
    <xf numFmtId="0" fontId="5" fillId="2" borderId="0" xfId="4" applyFont="1" applyFill="1" applyAlignment="1">
      <alignment horizontal="center" wrapText="1"/>
    </xf>
    <xf numFmtId="0" fontId="13" fillId="2" borderId="0" xfId="0" applyFont="1" applyFill="1" applyAlignment="1">
      <alignment horizontal="right" wrapText="1"/>
    </xf>
    <xf numFmtId="0" fontId="5" fillId="2" borderId="0" xfId="4" applyFont="1" applyFill="1" applyAlignment="1">
      <alignment horizontal="center" vertical="center" wrapText="1"/>
    </xf>
    <xf numFmtId="0" fontId="12" fillId="0" borderId="0" xfId="0" applyFont="1"/>
    <xf numFmtId="0" fontId="3" fillId="0" borderId="0" xfId="6" applyFont="1"/>
    <xf numFmtId="0" fontId="12" fillId="2" borderId="0" xfId="0" applyFont="1" applyFill="1"/>
    <xf numFmtId="166" fontId="3" fillId="0" borderId="0" xfId="2" applyNumberFormat="1" applyFont="1" applyFill="1"/>
    <xf numFmtId="0" fontId="12" fillId="0" borderId="0" xfId="0" applyFont="1" applyAlignment="1">
      <alignment wrapText="1"/>
    </xf>
    <xf numFmtId="15" fontId="12" fillId="0" borderId="0" xfId="0" applyNumberFormat="1" applyFont="1"/>
    <xf numFmtId="10" fontId="12" fillId="0" borderId="0" xfId="0" applyNumberFormat="1" applyFont="1"/>
    <xf numFmtId="166" fontId="12" fillId="0" borderId="0" xfId="2" applyNumberFormat="1" applyFont="1" applyFill="1"/>
    <xf numFmtId="164" fontId="12" fillId="0" borderId="0" xfId="2" applyFont="1" applyFill="1"/>
    <xf numFmtId="0" fontId="15" fillId="0" borderId="0" xfId="0" applyFont="1"/>
    <xf numFmtId="0" fontId="5" fillId="0" borderId="0" xfId="4" applyFont="1" applyAlignment="1">
      <alignment horizontal="right" wrapText="1"/>
    </xf>
    <xf numFmtId="164" fontId="5" fillId="0" borderId="0" xfId="4" applyNumberFormat="1" applyFont="1" applyAlignment="1">
      <alignment horizontal="center" wrapText="1"/>
    </xf>
    <xf numFmtId="164" fontId="5" fillId="3" borderId="0" xfId="2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5" fillId="0" borderId="0" xfId="4" applyFont="1" applyAlignment="1">
      <alignment horizontal="left" wrapText="1"/>
    </xf>
    <xf numFmtId="166" fontId="5" fillId="0" borderId="0" xfId="2" applyNumberFormat="1" applyFont="1" applyFill="1" applyAlignment="1">
      <alignment horizontal="center" wrapText="1"/>
    </xf>
    <xf numFmtId="0" fontId="7" fillId="0" borderId="0" xfId="0" applyFont="1" applyAlignment="1">
      <alignment horizontal="left" wrapText="1"/>
    </xf>
    <xf numFmtId="10" fontId="3" fillId="0" borderId="0" xfId="1" applyNumberFormat="1" applyFont="1" applyFill="1" applyBorder="1" applyAlignment="1">
      <alignment horizontal="right"/>
    </xf>
    <xf numFmtId="43" fontId="12" fillId="3" borderId="0" xfId="0" applyNumberFormat="1" applyFont="1" applyFill="1"/>
    <xf numFmtId="0" fontId="12" fillId="3" borderId="0" xfId="0" applyFont="1" applyFill="1"/>
    <xf numFmtId="0" fontId="5" fillId="0" borderId="0" xfId="0" applyFont="1" applyAlignment="1">
      <alignment horizontal="right" wrapText="1"/>
    </xf>
    <xf numFmtId="0" fontId="5" fillId="3" borderId="0" xfId="0" applyFont="1" applyFill="1" applyAlignment="1">
      <alignment wrapText="1"/>
    </xf>
    <xf numFmtId="164" fontId="5" fillId="3" borderId="0" xfId="2" applyFont="1" applyFill="1" applyAlignment="1">
      <alignment wrapText="1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3" borderId="0" xfId="2" applyFont="1" applyFill="1"/>
    <xf numFmtId="164" fontId="3" fillId="3" borderId="0" xfId="0" applyNumberFormat="1" applyFont="1" applyFill="1"/>
    <xf numFmtId="43" fontId="3" fillId="3" borderId="0" xfId="0" applyNumberFormat="1" applyFont="1" applyFill="1"/>
    <xf numFmtId="165" fontId="3" fillId="0" borderId="0" xfId="0" applyNumberFormat="1" applyFont="1" applyAlignment="1">
      <alignment horizontal="right"/>
    </xf>
    <xf numFmtId="0" fontId="3" fillId="3" borderId="0" xfId="0" applyFont="1" applyFill="1"/>
    <xf numFmtId="164" fontId="5" fillId="0" borderId="0" xfId="5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5" fillId="0" borderId="0" xfId="5" applyFont="1" applyBorder="1" applyAlignment="1">
      <alignment horizontal="left" vertical="center"/>
    </xf>
    <xf numFmtId="166" fontId="5" fillId="0" borderId="0" xfId="5" applyNumberFormat="1" applyFont="1" applyBorder="1" applyAlignment="1">
      <alignment horizontal="left" vertical="center"/>
    </xf>
    <xf numFmtId="164" fontId="5" fillId="3" borderId="0" xfId="5" applyFont="1" applyFill="1" applyBorder="1" applyAlignment="1">
      <alignment horizontal="right" vertical="center" wrapText="1"/>
    </xf>
    <xf numFmtId="164" fontId="5" fillId="3" borderId="0" xfId="5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164" fontId="5" fillId="3" borderId="0" xfId="5" applyFont="1" applyFill="1" applyBorder="1" applyAlignment="1">
      <alignment horizontal="left" vertical="center"/>
    </xf>
    <xf numFmtId="164" fontId="5" fillId="0" borderId="0" xfId="5" applyFont="1" applyBorder="1" applyAlignment="1">
      <alignment horizontal="center"/>
    </xf>
    <xf numFmtId="164" fontId="5" fillId="0" borderId="0" xfId="5" applyFont="1" applyBorder="1" applyAlignment="1">
      <alignment horizontal="left"/>
    </xf>
    <xf numFmtId="14" fontId="5" fillId="0" borderId="0" xfId="0" applyNumberFormat="1" applyFont="1" applyAlignment="1">
      <alignment horizontal="center"/>
    </xf>
    <xf numFmtId="14" fontId="5" fillId="0" borderId="0" xfId="5" applyNumberFormat="1" applyFont="1" applyAlignment="1">
      <alignment horizontal="center"/>
    </xf>
    <xf numFmtId="14" fontId="5" fillId="3" borderId="0" xfId="5" applyNumberFormat="1" applyFont="1" applyFill="1" applyAlignment="1">
      <alignment horizontal="right"/>
    </xf>
    <xf numFmtId="14" fontId="5" fillId="3" borderId="0" xfId="5" applyNumberFormat="1" applyFont="1" applyFill="1" applyAlignment="1">
      <alignment horizontal="center"/>
    </xf>
    <xf numFmtId="14" fontId="13" fillId="3" borderId="0" xfId="0" applyNumberFormat="1" applyFont="1" applyFill="1" applyAlignment="1">
      <alignment horizontal="right"/>
    </xf>
    <xf numFmtId="14" fontId="13" fillId="3" borderId="0" xfId="0" applyNumberFormat="1" applyFont="1" applyFill="1" applyAlignment="1">
      <alignment horizontal="left"/>
    </xf>
    <xf numFmtId="17" fontId="13" fillId="3" borderId="0" xfId="0" applyNumberFormat="1" applyFont="1" applyFill="1"/>
    <xf numFmtId="166" fontId="5" fillId="0" borderId="0" xfId="5" applyNumberFormat="1" applyFont="1" applyBorder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13" fillId="3" borderId="0" xfId="0" applyFont="1" applyFill="1"/>
    <xf numFmtId="0" fontId="3" fillId="0" borderId="0" xfId="5" applyNumberFormat="1" applyFont="1" applyFill="1"/>
    <xf numFmtId="164" fontId="3" fillId="0" borderId="0" xfId="5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164" fontId="3" fillId="0" borderId="0" xfId="2" applyFont="1" applyFill="1" applyAlignment="1">
      <alignment horizontal="center"/>
    </xf>
    <xf numFmtId="168" fontId="3" fillId="0" borderId="0" xfId="5" applyNumberFormat="1" applyFont="1" applyFill="1" applyAlignment="1">
      <alignment horizontal="right"/>
    </xf>
    <xf numFmtId="168" fontId="3" fillId="3" borderId="0" xfId="5" applyNumberFormat="1" applyFont="1" applyFill="1" applyAlignment="1">
      <alignment horizontal="right"/>
    </xf>
    <xf numFmtId="164" fontId="3" fillId="3" borderId="0" xfId="2" applyFont="1" applyFill="1" applyAlignment="1">
      <alignment horizontal="right"/>
    </xf>
    <xf numFmtId="164" fontId="12" fillId="3" borderId="0" xfId="2" applyFont="1" applyFill="1"/>
    <xf numFmtId="164" fontId="12" fillId="3" borderId="0" xfId="0" applyNumberFormat="1" applyFont="1" applyFill="1"/>
    <xf numFmtId="164" fontId="12" fillId="3" borderId="0" xfId="2" applyFont="1" applyFill="1" applyBorder="1" applyAlignment="1">
      <alignment horizontal="right"/>
    </xf>
    <xf numFmtId="167" fontId="3" fillId="0" borderId="0" xfId="5" applyNumberFormat="1" applyFont="1" applyFill="1" applyAlignment="1">
      <alignment horizontal="center"/>
    </xf>
    <xf numFmtId="164" fontId="3" fillId="0" borderId="0" xfId="5" applyFont="1" applyFill="1" applyAlignment="1">
      <alignment horizontal="center"/>
    </xf>
    <xf numFmtId="0" fontId="13" fillId="3" borderId="0" xfId="0" applyFont="1" applyFill="1" applyAlignment="1">
      <alignment wrapText="1"/>
    </xf>
    <xf numFmtId="164" fontId="5" fillId="0" borderId="0" xfId="5" applyFont="1" applyBorder="1" applyAlignment="1">
      <alignment horizontal="left" vertical="center" wrapText="1"/>
    </xf>
    <xf numFmtId="43" fontId="8" fillId="0" borderId="0" xfId="0" applyNumberFormat="1" applyFont="1"/>
    <xf numFmtId="14" fontId="8" fillId="0" borderId="0" xfId="0" applyNumberFormat="1" applyFont="1"/>
    <xf numFmtId="43" fontId="8" fillId="3" borderId="0" xfId="0" applyNumberFormat="1" applyFont="1" applyFill="1"/>
    <xf numFmtId="43" fontId="8" fillId="3" borderId="0" xfId="7" applyFont="1" applyFill="1"/>
    <xf numFmtId="0" fontId="8" fillId="4" borderId="0" xfId="0" applyFont="1" applyFill="1"/>
    <xf numFmtId="0" fontId="8" fillId="4" borderId="0" xfId="0" applyFont="1" applyFill="1" applyAlignment="1">
      <alignment wrapText="1"/>
    </xf>
    <xf numFmtId="43" fontId="8" fillId="4" borderId="0" xfId="0" applyNumberFormat="1" applyFont="1" applyFill="1"/>
    <xf numFmtId="169" fontId="12" fillId="0" borderId="0" xfId="0" applyNumberFormat="1" applyFont="1"/>
    <xf numFmtId="10" fontId="12" fillId="3" borderId="0" xfId="1" applyNumberFormat="1" applyFont="1" applyFill="1"/>
    <xf numFmtId="14" fontId="12" fillId="0" borderId="0" xfId="0" applyNumberFormat="1" applyFont="1"/>
    <xf numFmtId="14" fontId="13" fillId="0" borderId="0" xfId="0" applyNumberFormat="1" applyFont="1"/>
    <xf numFmtId="14" fontId="3" fillId="0" borderId="0" xfId="0" applyNumberFormat="1" applyFont="1"/>
    <xf numFmtId="0" fontId="5" fillId="0" borderId="0" xfId="0" applyFont="1"/>
    <xf numFmtId="14" fontId="15" fillId="0" borderId="0" xfId="0" applyNumberFormat="1" applyFont="1"/>
    <xf numFmtId="14" fontId="10" fillId="3" borderId="0" xfId="0" applyNumberFormat="1" applyFont="1" applyFill="1"/>
    <xf numFmtId="10" fontId="10" fillId="3" borderId="0" xfId="0" applyNumberFormat="1" applyFont="1" applyFill="1"/>
    <xf numFmtId="0" fontId="5" fillId="4" borderId="0" xfId="4" applyFont="1" applyFill="1" applyAlignment="1">
      <alignment horizontal="center" wrapText="1"/>
    </xf>
    <xf numFmtId="0" fontId="10" fillId="4" borderId="0" xfId="0" applyFont="1" applyFill="1"/>
    <xf numFmtId="166" fontId="3" fillId="4" borderId="0" xfId="2" applyNumberFormat="1" applyFont="1" applyFill="1" applyBorder="1" applyAlignment="1"/>
    <xf numFmtId="167" fontId="10" fillId="3" borderId="0" xfId="7" applyNumberFormat="1" applyFont="1" applyFill="1"/>
    <xf numFmtId="43" fontId="10" fillId="3" borderId="0" xfId="0" applyNumberFormat="1" applyFont="1" applyFill="1"/>
    <xf numFmtId="167" fontId="10" fillId="3" borderId="0" xfId="0" applyNumberFormat="1" applyFont="1" applyFill="1"/>
    <xf numFmtId="14" fontId="12" fillId="2" borderId="0" xfId="0" applyNumberFormat="1" applyFont="1" applyFill="1"/>
    <xf numFmtId="167" fontId="12" fillId="2" borderId="0" xfId="7" applyNumberFormat="1" applyFont="1" applyFill="1"/>
    <xf numFmtId="170" fontId="12" fillId="2" borderId="0" xfId="0" applyNumberFormat="1" applyFont="1" applyFill="1"/>
    <xf numFmtId="43" fontId="12" fillId="2" borderId="0" xfId="0" applyNumberFormat="1" applyFont="1" applyFill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8">
    <cellStyle name="Comma" xfId="7" builtinId="3"/>
    <cellStyle name="Comma 18 3" xfId="2" xr:uid="{558B156A-2575-43CC-A176-337A44353D8C}"/>
    <cellStyle name="Comma 3 3 2 2 2 4" xfId="3" xr:uid="{DEE96BB8-63C4-4799-8C7F-01DCAB1BAA10}"/>
    <cellStyle name="Comma 41" xfId="5" xr:uid="{9B1D9C17-1D58-49DC-A96A-22645B1940C0}"/>
    <cellStyle name="Normal" xfId="0" builtinId="0"/>
    <cellStyle name="Normal 2 3 21" xfId="6" xr:uid="{1C6699FE-18BC-418B-8EB0-2E6DD53BB28E}"/>
    <cellStyle name="Normal 3 4" xfId="4" xr:uid="{0383FA5F-6988-4CDF-A93F-866007D93A3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hunsi, Peter" id="{FEDEE5F5-43B7-43C4-BB8F-8D018872AE5A}" userId="S::pdahunsi@deloitte.com.ng::38044450-76e4-4d3c-81cc-cefde9e1d4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" dT="2026-07-21T07:15:01.32" personId="{FEDEE5F5-43B7-43C4-BB8F-8D018872AE5A}" id="{503C8F34-5BA4-4492-B5C6-6DB742DE3814}">
    <text>Needs the prev month exchange gain, or prev month opening and closing exchange rate</text>
  </threadedComment>
  <threadedComment ref="AF2" dT="2026-07-21T07:18:53.40" personId="{FEDEE5F5-43B7-43C4-BB8F-8D018872AE5A}" id="{CB3FF84A-B7BD-45BB-AB4E-637804BC4CC8}">
    <text>Information from Jan is not available</text>
  </threadedComment>
  <threadedComment ref="AG2" dT="2026-07-21T07:19:09.35" personId="{FEDEE5F5-43B7-43C4-BB8F-8D018872AE5A}" id="{C5BA89CC-2A19-4222-8916-A8891CFE4F26}">
    <text>Information from Jan is not available</text>
  </threadedComment>
  <threadedComment ref="N3" dT="2026-07-21T06:58:34.14" personId="{FEDEE5F5-43B7-43C4-BB8F-8D018872AE5A}" id="{A589C84C-5782-41CC-ADFA-61F9208F49D3}">
    <text>Does not agree with the interest receivables calculated from the information of 6710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6-07-21T07:27:53.59" personId="{FEDEE5F5-43B7-43C4-BB8F-8D018872AE5A}" id="{58DBB096-0D62-40F1-9C93-38CC4A87DA9F}">
    <text>Carryforward item from prev month</text>
  </threadedComment>
  <threadedComment ref="M2" dT="2026-07-21T07:30:30.70" personId="{FEDEE5F5-43B7-43C4-BB8F-8D018872AE5A}" id="{CC0D7E43-59CA-4523-85E9-7B5C00502CF6}">
    <text>Dependent on Opening Gain/(Loss) column K</text>
  </threadedComment>
  <threadedComment ref="N2" dT="2026-07-21T07:38:34.41" personId="{FEDEE5F5-43B7-43C4-BB8F-8D018872AE5A}" id="{4601F719-7AC9-4D61-AF56-961B0C04C777}">
    <text>Dividend information not available</text>
  </threadedComment>
  <threadedComment ref="P2" dT="2026-07-21T07:39:36.03" personId="{FEDEE5F5-43B7-43C4-BB8F-8D018872AE5A}" id="{85DDF09E-58D6-4888-B3ED-31F96F681D6D}">
    <text>No Dividend information</text>
  </threadedComment>
  <threadedComment ref="Q2" dT="2026-07-21T07:42:29.29" personId="{FEDEE5F5-43B7-43C4-BB8F-8D018872AE5A}" id="{9ACC9077-452F-4174-BC20-277C93583D4D}">
    <text>No Dividend information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2" dT="2026-07-21T08:04:43.34" personId="{FEDEE5F5-43B7-43C4-BB8F-8D018872AE5A}" id="{06002B0D-2518-455D-84A2-D01F37CB06BD}">
    <text>This was computed based on the expectations. Actual received experience might differ</text>
  </threadedComment>
  <threadedComment ref="W2" dT="2026-07-21T08:05:03.39" personId="{FEDEE5F5-43B7-43C4-BB8F-8D018872AE5A}" id="{4D12293B-333B-4CD3-8770-F95029DAC5C1}">
    <text>Carryforward item</text>
  </threadedComment>
  <threadedComment ref="Y2" dT="2026-07-21T08:17:42.54" personId="{FEDEE5F5-43B7-43C4-BB8F-8D018872AE5A}" id="{F6F74741-E205-4148-8360-6CFD11AA1E54}">
    <text>Coupon dates information required</text>
  </threadedComment>
  <threadedComment ref="Z2" dT="2026-07-21T08:19:40.20" personId="{FEDEE5F5-43B7-43C4-BB8F-8D018872AE5A}" id="{303D7F03-16C7-4D68-88E8-6D4EA8C5813E}">
    <text>Coupon dates information needed</text>
  </threadedComment>
  <threadedComment ref="AD2" dT="2026-07-21T10:28:09.51" personId="{FEDEE5F5-43B7-43C4-BB8F-8D018872AE5A}" id="{ECE72D01-936B-4CF5-BD46-5BE235859041}">
    <text>Market Information is required from here onwards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2" dT="2026-07-21T10:36:19.30" personId="{FEDEE5F5-43B7-43C4-BB8F-8D018872AE5A}" id="{FE152899-D3BA-4B2C-A2FA-23A6B6471FA2}">
    <text>Market information is required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EFA0-6530-4EBC-A701-35A158DBD359}">
  <dimension ref="A1:U14"/>
  <sheetViews>
    <sheetView tabSelected="1" zoomScale="75" zoomScaleNormal="75" workbookViewId="0">
      <selection activeCell="T2" sqref="T2"/>
    </sheetView>
  </sheetViews>
  <sheetFormatPr defaultColWidth="10.88671875" defaultRowHeight="15"/>
  <cols>
    <col min="1" max="1" width="6.88671875" style="11" bestFit="1" customWidth="1"/>
    <col min="2" max="2" width="24.109375" style="11" customWidth="1"/>
    <col min="3" max="3" width="35.109375" style="11" bestFit="1" customWidth="1"/>
    <col min="4" max="4" width="19.5546875" style="11" bestFit="1" customWidth="1"/>
    <col min="5" max="5" width="8.88671875" style="11" bestFit="1" customWidth="1"/>
    <col min="6" max="6" width="13.6640625" style="11" bestFit="1" customWidth="1"/>
    <col min="7" max="7" width="16" style="11" bestFit="1" customWidth="1"/>
    <col min="8" max="8" width="7.5546875" style="11" bestFit="1" customWidth="1"/>
    <col min="9" max="9" width="18.5546875" style="11" bestFit="1" customWidth="1"/>
    <col min="10" max="10" width="21.88671875" style="11" customWidth="1"/>
    <col min="11" max="11" width="24" style="22" customWidth="1"/>
    <col min="12" max="12" width="20" style="22" customWidth="1"/>
    <col min="13" max="13" width="21.6640625" style="22" customWidth="1"/>
    <col min="14" max="14" width="34.44140625" style="22" customWidth="1"/>
    <col min="15" max="15" width="34.88671875" style="22" customWidth="1"/>
    <col min="16" max="16" width="27.109375" style="22" bestFit="1" customWidth="1"/>
    <col min="17" max="17" width="20" style="132" customWidth="1"/>
    <col min="18" max="18" width="21.88671875" style="132" customWidth="1"/>
    <col min="19" max="19" width="12.5546875" style="132" customWidth="1"/>
    <col min="20" max="20" width="13.88671875" style="11" bestFit="1" customWidth="1"/>
    <col min="21" max="21" width="18" style="11" bestFit="1" customWidth="1"/>
    <col min="22" max="16384" width="10.88671875" style="11"/>
  </cols>
  <sheetData>
    <row r="1" spans="1:21">
      <c r="T1" s="11" t="s">
        <v>218</v>
      </c>
      <c r="U1" s="11" t="s">
        <v>219</v>
      </c>
    </row>
    <row r="2" spans="1:21">
      <c r="C2" s="155" t="s">
        <v>0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T2" s="129">
        <v>46170</v>
      </c>
      <c r="U2" s="129">
        <v>46142</v>
      </c>
    </row>
    <row r="3" spans="1:21" ht="30">
      <c r="A3" s="9" t="s">
        <v>1</v>
      </c>
      <c r="B3" s="79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20" t="s">
        <v>11</v>
      </c>
      <c r="L3" s="20" t="s">
        <v>12</v>
      </c>
      <c r="M3" s="23" t="s">
        <v>13</v>
      </c>
      <c r="N3" s="20" t="s">
        <v>14</v>
      </c>
      <c r="O3" s="21" t="s">
        <v>15</v>
      </c>
      <c r="P3" s="20" t="s">
        <v>16</v>
      </c>
      <c r="Q3" s="132" t="s">
        <v>217</v>
      </c>
      <c r="R3" s="133" t="s">
        <v>220</v>
      </c>
      <c r="S3" s="133" t="s">
        <v>221</v>
      </c>
    </row>
    <row r="4" spans="1:21">
      <c r="A4" s="12">
        <v>1</v>
      </c>
      <c r="B4" s="12" t="s">
        <v>17</v>
      </c>
      <c r="C4" s="13" t="s">
        <v>18</v>
      </c>
      <c r="D4" s="14">
        <v>53444235.815101139</v>
      </c>
      <c r="E4" s="15">
        <v>0.14000000000000001</v>
      </c>
      <c r="F4" s="16">
        <v>46112</v>
      </c>
      <c r="G4" s="16">
        <f>F4+62</f>
        <v>46174</v>
      </c>
      <c r="H4" s="17">
        <f>G4-F4</f>
        <v>62</v>
      </c>
      <c r="I4" s="18">
        <f>((D4*E4*H4/365))*0.9</f>
        <v>1143853.0690070414</v>
      </c>
      <c r="J4" s="18">
        <f t="shared" ref="J4:J8" si="0">D4+I4</f>
        <v>54588088.884108178</v>
      </c>
      <c r="K4" s="130">
        <f>R4-O4</f>
        <v>516578.80535801861</v>
      </c>
      <c r="L4" s="131">
        <f>IF(S4="Net",0,K4*0.1)</f>
        <v>0</v>
      </c>
      <c r="M4" s="130">
        <f>K4-L4</f>
        <v>516578.80535801861</v>
      </c>
      <c r="N4" s="130">
        <f>D4+O4</f>
        <v>53997713.106556162</v>
      </c>
      <c r="O4" s="130">
        <f>IF(S4="Net",(D4*E4*MAX(0,MIN($U$2,G4)-F4)/365)*0.9,
D4*E4*MAX(0,MIN($U$2,G4)-F4)/365)</f>
        <v>553477.29145502008</v>
      </c>
      <c r="P4" s="130">
        <f>N4+K4</f>
        <v>54514291.911914177</v>
      </c>
      <c r="Q4" s="132">
        <f>MAX(0,MIN($T$2,G4)-F4)</f>
        <v>58</v>
      </c>
      <c r="R4" s="134">
        <f>IF(S4="Net",D4*E4*Q4/365*0.9,D4*E4*Q4/365)</f>
        <v>1070056.0968130387</v>
      </c>
      <c r="S4" s="134" t="s">
        <v>222</v>
      </c>
      <c r="U4" s="128"/>
    </row>
    <row r="5" spans="1:21">
      <c r="A5" s="12">
        <v>2</v>
      </c>
      <c r="B5" s="12" t="s">
        <v>19</v>
      </c>
      <c r="C5" s="13" t="s">
        <v>20</v>
      </c>
      <c r="D5" s="14">
        <v>53284757.743933931</v>
      </c>
      <c r="E5" s="15">
        <v>0.155</v>
      </c>
      <c r="F5" s="16">
        <v>46112</v>
      </c>
      <c r="G5" s="16">
        <f>F5+62</f>
        <v>46174</v>
      </c>
      <c r="H5" s="17">
        <f>G5-F5</f>
        <v>62</v>
      </c>
      <c r="I5" s="18">
        <f>((D5*E5*H5/365))*0.9</f>
        <v>1262629.7800747524</v>
      </c>
      <c r="J5" s="18">
        <f t="shared" si="0"/>
        <v>54547387.524008684</v>
      </c>
      <c r="K5" s="130">
        <f t="shared" ref="K5:K8" si="1">R5-O5</f>
        <v>570219.90067892009</v>
      </c>
      <c r="L5" s="131">
        <f t="shared" ref="L5:L8" si="2">IF(S5="Net",0,K5*0.1)</f>
        <v>0</v>
      </c>
      <c r="M5" s="130">
        <f t="shared" ref="M5:M8" si="3">K5-L5</f>
        <v>570219.90067892009</v>
      </c>
      <c r="N5" s="130">
        <f t="shared" ref="N5:N8" si="4">D5+O5</f>
        <v>53895707.637518488</v>
      </c>
      <c r="O5" s="130">
        <f t="shared" ref="O5:O8" si="5">IF(S5="Net",(D5*E5*MAX(0,MIN($U$2,G5)-F5)/365)*0.9,
D5*E5*MAX(0,MIN($U$2,G5)-F5)/365)</f>
        <v>610949.89358455758</v>
      </c>
      <c r="P5" s="130">
        <f t="shared" ref="P5:P8" si="6">N5+K5</f>
        <v>54465927.538197406</v>
      </c>
      <c r="Q5" s="132">
        <f t="shared" ref="Q5:Q8" si="7">MAX(0,MIN($T$2,G5)-F5)</f>
        <v>58</v>
      </c>
      <c r="R5" s="134">
        <f t="shared" ref="R5:R8" si="8">IF(S5="Net",D5*E5*Q5/365*0.9,D5*E5*Q5/365)</f>
        <v>1181169.7942634777</v>
      </c>
      <c r="S5" s="134" t="s">
        <v>222</v>
      </c>
    </row>
    <row r="6" spans="1:21">
      <c r="A6" s="12">
        <v>3</v>
      </c>
      <c r="B6" s="12" t="s">
        <v>21</v>
      </c>
      <c r="C6" s="13" t="s">
        <v>18</v>
      </c>
      <c r="D6" s="14">
        <v>56166360.603614785</v>
      </c>
      <c r="E6" s="15">
        <v>0.14000000000000001</v>
      </c>
      <c r="F6" s="16">
        <v>46112</v>
      </c>
      <c r="G6" s="16">
        <f>F6+62</f>
        <v>46174</v>
      </c>
      <c r="H6" s="17">
        <f>G6-F6</f>
        <v>62</v>
      </c>
      <c r="I6" s="18">
        <f>((D6*E6*H6/365))*0.9</f>
        <v>1202113.9973573664</v>
      </c>
      <c r="J6" s="18">
        <f t="shared" si="0"/>
        <v>57368474.600972153</v>
      </c>
      <c r="K6" s="130">
        <f t="shared" si="1"/>
        <v>542890.19235493965</v>
      </c>
      <c r="L6" s="131">
        <f t="shared" si="2"/>
        <v>0</v>
      </c>
      <c r="M6" s="130">
        <f t="shared" si="3"/>
        <v>542890.19235493965</v>
      </c>
      <c r="N6" s="130">
        <f t="shared" si="4"/>
        <v>56748028.666852221</v>
      </c>
      <c r="O6" s="130">
        <f t="shared" si="5"/>
        <v>581668.06323743542</v>
      </c>
      <c r="P6" s="130">
        <f t="shared" si="6"/>
        <v>57290918.859207161</v>
      </c>
      <c r="Q6" s="132">
        <f t="shared" si="7"/>
        <v>58</v>
      </c>
      <c r="R6" s="134">
        <f t="shared" si="8"/>
        <v>1124558.2555923751</v>
      </c>
      <c r="S6" s="134" t="s">
        <v>222</v>
      </c>
    </row>
    <row r="7" spans="1:21">
      <c r="A7" s="12">
        <v>4</v>
      </c>
      <c r="B7" s="12" t="s">
        <v>22</v>
      </c>
      <c r="C7" s="13" t="s">
        <v>20</v>
      </c>
      <c r="D7" s="14">
        <v>72697065.879251063</v>
      </c>
      <c r="E7" s="15">
        <v>0.155</v>
      </c>
      <c r="F7" s="16">
        <v>46112</v>
      </c>
      <c r="G7" s="16">
        <f>F7+62</f>
        <v>46174</v>
      </c>
      <c r="H7" s="17">
        <f>G7-F7</f>
        <v>62</v>
      </c>
      <c r="I7" s="18">
        <f>((D7*E7*H7/365))*0.9</f>
        <v>1722621.706272993</v>
      </c>
      <c r="J7" s="18">
        <f t="shared" si="0"/>
        <v>74419687.585524052</v>
      </c>
      <c r="K7" s="130">
        <f t="shared" si="1"/>
        <v>777958.18992973864</v>
      </c>
      <c r="L7" s="131">
        <f t="shared" si="2"/>
        <v>0</v>
      </c>
      <c r="M7" s="130">
        <f t="shared" si="3"/>
        <v>777958.18992973864</v>
      </c>
      <c r="N7" s="130">
        <f t="shared" si="4"/>
        <v>73530592.511318639</v>
      </c>
      <c r="O7" s="130">
        <f t="shared" si="5"/>
        <v>833526.63206757721</v>
      </c>
      <c r="P7" s="130">
        <f t="shared" si="6"/>
        <v>74308550.701248378</v>
      </c>
      <c r="Q7" s="132">
        <f t="shared" si="7"/>
        <v>58</v>
      </c>
      <c r="R7" s="134">
        <f t="shared" si="8"/>
        <v>1611484.8219973159</v>
      </c>
      <c r="S7" s="134" t="s">
        <v>222</v>
      </c>
    </row>
    <row r="8" spans="1:21">
      <c r="A8" s="12">
        <v>5</v>
      </c>
      <c r="B8" s="12" t="s">
        <v>23</v>
      </c>
      <c r="C8" s="13" t="s">
        <v>24</v>
      </c>
      <c r="D8" s="18">
        <v>199845854.81999999</v>
      </c>
      <c r="E8" s="19">
        <v>0.14000000000000001</v>
      </c>
      <c r="F8" s="16">
        <v>46111</v>
      </c>
      <c r="G8" s="16">
        <f>F8+63</f>
        <v>46174</v>
      </c>
      <c r="H8" s="17">
        <f t="shared" ref="H8" si="9">G8-F8</f>
        <v>63</v>
      </c>
      <c r="I8" s="18">
        <f t="shared" ref="I8" si="10">((D8*E8*H8/365))</f>
        <v>4829151.8890750688</v>
      </c>
      <c r="J8" s="18">
        <f t="shared" si="0"/>
        <v>204675006.70907506</v>
      </c>
      <c r="K8" s="130">
        <f t="shared" si="1"/>
        <v>2146289.7284778077</v>
      </c>
      <c r="L8" s="131">
        <f t="shared" si="2"/>
        <v>214628.97284778079</v>
      </c>
      <c r="M8" s="130">
        <f t="shared" si="3"/>
        <v>1931660.755630027</v>
      </c>
      <c r="N8" s="130">
        <f t="shared" si="4"/>
        <v>202222104.16224328</v>
      </c>
      <c r="O8" s="130">
        <f t="shared" si="5"/>
        <v>2376249.3422432877</v>
      </c>
      <c r="P8" s="130">
        <f t="shared" si="6"/>
        <v>204368393.89072108</v>
      </c>
      <c r="Q8" s="132">
        <f t="shared" si="7"/>
        <v>59</v>
      </c>
      <c r="R8" s="134">
        <f t="shared" si="8"/>
        <v>4522539.0707210954</v>
      </c>
      <c r="S8" s="132" t="s">
        <v>223</v>
      </c>
    </row>
    <row r="11" spans="1:21">
      <c r="I11" s="11" t="s">
        <v>215</v>
      </c>
      <c r="J11" s="128"/>
    </row>
    <row r="12" spans="1:21">
      <c r="I12" s="11" t="s">
        <v>216</v>
      </c>
    </row>
    <row r="14" spans="1:21">
      <c r="J14" s="128"/>
    </row>
  </sheetData>
  <mergeCells count="1">
    <mergeCell ref="C2:Q2"/>
  </mergeCells>
  <phoneticPr fontId="16" type="noConversion"/>
  <dataValidations disablePrompts="1" count="1">
    <dataValidation type="list" allowBlank="1" showInputMessage="1" showErrorMessage="1" sqref="S4:S1048576" xr:uid="{8EEF4799-F6E6-4F27-A9F3-29EA7E709411}">
      <formula1>"Net, Gross"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C607-1223-4A1E-A450-1A3FDE998228}">
  <dimension ref="A1:AA14"/>
  <sheetViews>
    <sheetView zoomScale="93" workbookViewId="0">
      <selection activeCell="S2" sqref="S2"/>
    </sheetView>
  </sheetViews>
  <sheetFormatPr defaultColWidth="9.109375" defaultRowHeight="13.2"/>
  <cols>
    <col min="1" max="1" width="9.33203125" style="61" bestFit="1" customWidth="1"/>
    <col min="2" max="2" width="26.5546875" style="61" bestFit="1" customWidth="1"/>
    <col min="3" max="3" width="9.109375" style="61"/>
    <col min="4" max="4" width="25.109375" style="61" bestFit="1" customWidth="1"/>
    <col min="5" max="5" width="11.5546875" style="61" bestFit="1" customWidth="1"/>
    <col min="6" max="6" width="20.6640625" style="61" bestFit="1" customWidth="1"/>
    <col min="7" max="8" width="12.44140625" style="61" bestFit="1" customWidth="1"/>
    <col min="9" max="9" width="9.33203125" style="61" bestFit="1" customWidth="1"/>
    <col min="10" max="10" width="19.33203125" style="61" bestFit="1" customWidth="1"/>
    <col min="11" max="12" width="9.33203125" style="61" bestFit="1" customWidth="1"/>
    <col min="13" max="13" width="15.6640625" style="82" bestFit="1" customWidth="1"/>
    <col min="14" max="14" width="15.44140625" style="82" bestFit="1" customWidth="1"/>
    <col min="15" max="16" width="14.5546875" style="82" bestFit="1" customWidth="1"/>
    <col min="17" max="17" width="9.109375" style="82"/>
    <col min="18" max="18" width="17.109375" style="82" bestFit="1" customWidth="1"/>
    <col min="19" max="19" width="15.44140625" style="82" customWidth="1"/>
    <col min="20" max="20" width="14.5546875" style="82" customWidth="1"/>
    <col min="21" max="23" width="9.109375" style="61"/>
    <col min="24" max="24" width="11.109375" style="61" bestFit="1" customWidth="1"/>
    <col min="25" max="26" width="9.109375" style="61"/>
    <col min="27" max="27" width="11.109375" style="61" bestFit="1" customWidth="1"/>
    <col min="28" max="16384" width="9.109375" style="61"/>
  </cols>
  <sheetData>
    <row r="1" spans="1:27">
      <c r="B1" s="154" t="s">
        <v>25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W1" s="75" t="s">
        <v>224</v>
      </c>
      <c r="X1" s="138">
        <v>46170</v>
      </c>
      <c r="Z1" s="61" t="s">
        <v>225</v>
      </c>
      <c r="AA1" s="137">
        <v>46142</v>
      </c>
    </row>
    <row r="2" spans="1:27" ht="51">
      <c r="A2" s="43" t="s">
        <v>1</v>
      </c>
      <c r="B2" s="41" t="s">
        <v>26</v>
      </c>
      <c r="C2" s="41" t="s">
        <v>2</v>
      </c>
      <c r="D2" s="43" t="s">
        <v>27</v>
      </c>
      <c r="E2" s="43" t="s">
        <v>28</v>
      </c>
      <c r="F2" s="43" t="s">
        <v>29</v>
      </c>
      <c r="G2" s="40" t="s">
        <v>30</v>
      </c>
      <c r="H2" s="40" t="s">
        <v>31</v>
      </c>
      <c r="I2" s="44" t="s">
        <v>32</v>
      </c>
      <c r="J2" s="71" t="s">
        <v>33</v>
      </c>
      <c r="K2" s="43" t="s">
        <v>8</v>
      </c>
      <c r="L2" s="72" t="s">
        <v>34</v>
      </c>
      <c r="M2" s="50" t="s">
        <v>35</v>
      </c>
      <c r="N2" s="50" t="s">
        <v>36</v>
      </c>
      <c r="O2" s="73" t="s">
        <v>37</v>
      </c>
      <c r="P2" s="73" t="s">
        <v>38</v>
      </c>
      <c r="Q2" s="73" t="s">
        <v>39</v>
      </c>
      <c r="R2" s="74" t="s">
        <v>40</v>
      </c>
      <c r="S2" s="74" t="s">
        <v>41</v>
      </c>
      <c r="T2" s="73" t="s">
        <v>42</v>
      </c>
    </row>
    <row r="3" spans="1:27">
      <c r="A3" s="53">
        <v>1</v>
      </c>
      <c r="B3" s="1" t="s">
        <v>43</v>
      </c>
      <c r="C3" s="1" t="s">
        <v>44</v>
      </c>
      <c r="D3" s="1" t="s">
        <v>45</v>
      </c>
      <c r="E3" s="1" t="s">
        <v>46</v>
      </c>
      <c r="F3" s="2">
        <v>100000019.1780822</v>
      </c>
      <c r="G3" s="4">
        <v>46086</v>
      </c>
      <c r="H3" s="4">
        <v>46436</v>
      </c>
      <c r="I3" s="80">
        <v>0.16</v>
      </c>
      <c r="J3" s="3">
        <v>118123000</v>
      </c>
      <c r="K3" s="1">
        <v>350</v>
      </c>
      <c r="L3" s="7">
        <v>84.657534246575352</v>
      </c>
      <c r="M3" s="8">
        <f>J3-F3</f>
        <v>18122980.821917802</v>
      </c>
      <c r="N3" s="136">
        <f>((J3/F3)^(365/K3))-1</f>
        <v>0.18969169563341759</v>
      </c>
      <c r="O3" s="81">
        <f>(((MIN($X$1,H3)-G3)/K3)-((MIN($AA$1,H3)-G3)/K3))*M3</f>
        <v>1449838.465753424</v>
      </c>
      <c r="P3" s="81">
        <f>M3*((MIN($X$1,H3)-G3)/K3)</f>
        <v>4349515.3972602719</v>
      </c>
      <c r="R3" s="81">
        <f>F3+P3</f>
        <v>104349534.57534248</v>
      </c>
    </row>
    <row r="4" spans="1:27">
      <c r="A4" s="53">
        <v>2</v>
      </c>
      <c r="B4" s="1" t="s">
        <v>47</v>
      </c>
      <c r="C4" s="1" t="s">
        <v>48</v>
      </c>
      <c r="D4" s="1" t="s">
        <v>45</v>
      </c>
      <c r="E4" s="1" t="s">
        <v>46</v>
      </c>
      <c r="F4" s="2">
        <v>1522558356.1600001</v>
      </c>
      <c r="G4" s="4">
        <v>46052</v>
      </c>
      <c r="H4" s="4">
        <v>46394</v>
      </c>
      <c r="I4" s="5">
        <v>0.16450000000000001</v>
      </c>
      <c r="J4" s="3">
        <v>1800000000</v>
      </c>
      <c r="K4" s="1">
        <v>342</v>
      </c>
      <c r="L4" s="7">
        <v>84.586575342222233</v>
      </c>
      <c r="M4" s="8">
        <f t="shared" ref="M4:M11" si="0">J4-F4</f>
        <v>277441643.83999991</v>
      </c>
      <c r="N4" s="136">
        <f t="shared" ref="N4:N11" si="1">((J4/F4)^(365/K4))-1</f>
        <v>0.19560477892306838</v>
      </c>
      <c r="O4" s="81">
        <f t="shared" ref="O4:O11" si="2">(((MIN($X$1,H4)-G4)/K4)-((MIN($AA$1,H4)-G4)/K4))*M4</f>
        <v>22714520.548304085</v>
      </c>
      <c r="P4" s="81">
        <f t="shared" ref="P4:P11" si="3">M4*((MIN($X$1,H4)-G4)/K4)</f>
        <v>95725479.453567222</v>
      </c>
      <c r="R4" s="81">
        <f t="shared" ref="R4:R11" si="4">F4+P4</f>
        <v>1618283835.6135674</v>
      </c>
    </row>
    <row r="5" spans="1:27">
      <c r="A5" s="53">
        <v>3</v>
      </c>
      <c r="B5" s="1" t="s">
        <v>49</v>
      </c>
      <c r="C5" s="1" t="s">
        <v>50</v>
      </c>
      <c r="D5" s="1" t="s">
        <v>45</v>
      </c>
      <c r="E5" s="1" t="s">
        <v>46</v>
      </c>
      <c r="F5" s="2">
        <v>214548569.86301368</v>
      </c>
      <c r="G5" s="4">
        <v>46087</v>
      </c>
      <c r="H5" s="4">
        <v>46436</v>
      </c>
      <c r="I5" s="80">
        <v>0.16</v>
      </c>
      <c r="J5" s="3">
        <v>253300000</v>
      </c>
      <c r="K5" s="1">
        <v>349</v>
      </c>
      <c r="L5" s="7">
        <v>84.701369863013696</v>
      </c>
      <c r="M5" s="8">
        <f t="shared" si="0"/>
        <v>38751430.136986315</v>
      </c>
      <c r="N5" s="136">
        <f t="shared" si="1"/>
        <v>0.18963969921414603</v>
      </c>
      <c r="O5" s="81">
        <f t="shared" si="2"/>
        <v>3108997.2602739739</v>
      </c>
      <c r="P5" s="81">
        <f t="shared" si="3"/>
        <v>9215956.1643835641</v>
      </c>
      <c r="R5" s="81">
        <f t="shared" si="4"/>
        <v>223764526.02739725</v>
      </c>
    </row>
    <row r="6" spans="1:27">
      <c r="A6" s="53">
        <v>4</v>
      </c>
      <c r="B6" s="1" t="s">
        <v>43</v>
      </c>
      <c r="C6" s="1" t="s">
        <v>51</v>
      </c>
      <c r="D6" s="1" t="s">
        <v>45</v>
      </c>
      <c r="E6" s="1" t="s">
        <v>46</v>
      </c>
      <c r="F6" s="2">
        <v>249999572.27000001</v>
      </c>
      <c r="G6" s="4">
        <v>45989</v>
      </c>
      <c r="H6" s="4">
        <v>46345</v>
      </c>
      <c r="I6" s="5">
        <v>0.161</v>
      </c>
      <c r="J6" s="3">
        <v>296570000</v>
      </c>
      <c r="K6" s="1">
        <v>356</v>
      </c>
      <c r="L6" s="7">
        <v>84.296986300030355</v>
      </c>
      <c r="M6" s="8">
        <f t="shared" si="0"/>
        <v>46570427.729999989</v>
      </c>
      <c r="N6" s="136">
        <f t="shared" si="1"/>
        <v>0.19141616881678902</v>
      </c>
      <c r="O6" s="81">
        <f t="shared" si="2"/>
        <v>3662842.6304494361</v>
      </c>
      <c r="P6" s="81">
        <f t="shared" si="3"/>
        <v>23677661.289691005</v>
      </c>
      <c r="R6" s="81">
        <f t="shared" si="4"/>
        <v>273677233.55969101</v>
      </c>
    </row>
    <row r="7" spans="1:27">
      <c r="A7" s="53">
        <v>5</v>
      </c>
      <c r="B7" s="1" t="s">
        <v>43</v>
      </c>
      <c r="C7" s="1" t="s">
        <v>52</v>
      </c>
      <c r="D7" s="1" t="s">
        <v>45</v>
      </c>
      <c r="E7" s="1" t="s">
        <v>46</v>
      </c>
      <c r="F7" s="2">
        <v>100371446.58</v>
      </c>
      <c r="G7" s="4">
        <v>45989</v>
      </c>
      <c r="H7" s="4">
        <v>46345</v>
      </c>
      <c r="I7" s="5">
        <v>0.1605</v>
      </c>
      <c r="J7" s="3">
        <v>119000000</v>
      </c>
      <c r="K7" s="1">
        <v>356</v>
      </c>
      <c r="L7" s="7">
        <v>84.345753428571427</v>
      </c>
      <c r="M7" s="8">
        <f t="shared" si="0"/>
        <v>18628553.420000002</v>
      </c>
      <c r="N7" s="136">
        <f t="shared" si="1"/>
        <v>0.19070990469579607</v>
      </c>
      <c r="O7" s="81">
        <f t="shared" si="2"/>
        <v>1465167.1229213479</v>
      </c>
      <c r="P7" s="81">
        <f t="shared" si="3"/>
        <v>9471258.9017415736</v>
      </c>
      <c r="R7" s="81">
        <f t="shared" si="4"/>
        <v>109842705.48174158</v>
      </c>
    </row>
    <row r="8" spans="1:27">
      <c r="A8" s="53">
        <v>6</v>
      </c>
      <c r="B8" s="1" t="s">
        <v>47</v>
      </c>
      <c r="C8" s="1" t="s">
        <v>53</v>
      </c>
      <c r="D8" s="1" t="s">
        <v>45</v>
      </c>
      <c r="E8" s="1" t="s">
        <v>46</v>
      </c>
      <c r="F8" s="2">
        <v>682459178.08000004</v>
      </c>
      <c r="G8" s="4">
        <v>45981</v>
      </c>
      <c r="H8" s="4">
        <v>46226</v>
      </c>
      <c r="I8" s="5">
        <v>0.152</v>
      </c>
      <c r="J8" s="3">
        <v>760000000</v>
      </c>
      <c r="K8" s="1">
        <v>245</v>
      </c>
      <c r="L8" s="7">
        <v>89.797260273684216</v>
      </c>
      <c r="M8" s="8">
        <f t="shared" si="0"/>
        <v>77540821.919999957</v>
      </c>
      <c r="N8" s="136">
        <f t="shared" si="1"/>
        <v>0.17389286508438095</v>
      </c>
      <c r="O8" s="81">
        <f t="shared" si="2"/>
        <v>8861808.2194285691</v>
      </c>
      <c r="P8" s="81">
        <f t="shared" si="3"/>
        <v>59817205.481142826</v>
      </c>
      <c r="R8" s="81">
        <f t="shared" si="4"/>
        <v>742276383.56114292</v>
      </c>
    </row>
    <row r="9" spans="1:27">
      <c r="A9" s="53">
        <v>7</v>
      </c>
      <c r="B9" s="1" t="s">
        <v>43</v>
      </c>
      <c r="C9" s="1" t="s">
        <v>54</v>
      </c>
      <c r="D9" s="1" t="s">
        <v>45</v>
      </c>
      <c r="E9" s="1" t="s">
        <v>46</v>
      </c>
      <c r="F9" s="2">
        <v>299999914.42000002</v>
      </c>
      <c r="G9" s="4">
        <v>45987</v>
      </c>
      <c r="H9" s="4">
        <v>46345</v>
      </c>
      <c r="I9" s="5">
        <v>0.1595</v>
      </c>
      <c r="J9" s="3">
        <v>355636000</v>
      </c>
      <c r="K9" s="1">
        <v>358</v>
      </c>
      <c r="L9" s="7">
        <v>84.355890410419647</v>
      </c>
      <c r="M9" s="8">
        <f t="shared" si="0"/>
        <v>55636085.579999983</v>
      </c>
      <c r="N9" s="136">
        <f t="shared" si="1"/>
        <v>0.18940362214090389</v>
      </c>
      <c r="O9" s="81">
        <f t="shared" si="2"/>
        <v>4351425.6878212262</v>
      </c>
      <c r="P9" s="81">
        <f t="shared" si="3"/>
        <v>28439675.031117309</v>
      </c>
      <c r="R9" s="81">
        <f t="shared" si="4"/>
        <v>328439589.45111734</v>
      </c>
    </row>
    <row r="10" spans="1:27">
      <c r="A10" s="53">
        <v>8</v>
      </c>
      <c r="B10" s="1" t="s">
        <v>43</v>
      </c>
      <c r="C10" s="1" t="s">
        <v>55</v>
      </c>
      <c r="D10" s="1" t="s">
        <v>56</v>
      </c>
      <c r="E10" s="1" t="s">
        <v>46</v>
      </c>
      <c r="F10" s="2">
        <v>100156807.88</v>
      </c>
      <c r="G10" s="4">
        <v>45992</v>
      </c>
      <c r="H10" s="4">
        <v>46345</v>
      </c>
      <c r="I10" s="5">
        <v>0.161</v>
      </c>
      <c r="J10" s="3">
        <v>118628000</v>
      </c>
      <c r="K10" s="1">
        <v>353</v>
      </c>
      <c r="L10" s="7">
        <v>84.429315068955049</v>
      </c>
      <c r="M10" s="8">
        <f t="shared" si="0"/>
        <v>18471192.120000005</v>
      </c>
      <c r="N10" s="136">
        <f t="shared" si="1"/>
        <v>0.19125722155016711</v>
      </c>
      <c r="O10" s="81">
        <f t="shared" si="2"/>
        <v>1465137.052011332</v>
      </c>
      <c r="P10" s="81">
        <f t="shared" si="3"/>
        <v>9314085.5449291822</v>
      </c>
      <c r="R10" s="81">
        <f t="shared" si="4"/>
        <v>109470893.42492917</v>
      </c>
    </row>
    <row r="11" spans="1:27">
      <c r="A11" s="53">
        <v>9</v>
      </c>
      <c r="B11" s="1" t="s">
        <v>43</v>
      </c>
      <c r="C11" s="1" t="s">
        <v>57</v>
      </c>
      <c r="D11" s="1" t="s">
        <v>56</v>
      </c>
      <c r="E11" s="1" t="s">
        <v>46</v>
      </c>
      <c r="F11" s="2">
        <v>71597747.760000005</v>
      </c>
      <c r="G11" s="4">
        <v>45992</v>
      </c>
      <c r="H11" s="4">
        <v>46345</v>
      </c>
      <c r="I11" s="5">
        <v>0.161</v>
      </c>
      <c r="J11" s="3">
        <v>84802000</v>
      </c>
      <c r="K11" s="1">
        <v>353</v>
      </c>
      <c r="L11" s="7">
        <v>84.429315063323983</v>
      </c>
      <c r="M11" s="8">
        <f t="shared" si="0"/>
        <v>13204252.239999995</v>
      </c>
      <c r="N11" s="136">
        <f t="shared" si="1"/>
        <v>0.19125722163231962</v>
      </c>
      <c r="O11" s="81">
        <f t="shared" si="2"/>
        <v>1047362.7839093482</v>
      </c>
      <c r="P11" s="81">
        <f t="shared" si="3"/>
        <v>6658234.8405665699</v>
      </c>
      <c r="R11" s="81">
        <f t="shared" si="4"/>
        <v>78255982.600566581</v>
      </c>
    </row>
    <row r="14" spans="1:27">
      <c r="L14" s="135">
        <f>F3/J3</f>
        <v>0.8465753424657535</v>
      </c>
    </row>
  </sheetData>
  <mergeCells count="1">
    <mergeCell ref="B1:T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F10A-8E7B-4530-8084-9B5E9A77AFE0}">
  <dimension ref="A1:AO6"/>
  <sheetViews>
    <sheetView topLeftCell="T1" zoomScale="106" workbookViewId="0">
      <selection activeCell="AC4" sqref="AC4"/>
    </sheetView>
  </sheetViews>
  <sheetFormatPr defaultColWidth="9.109375" defaultRowHeight="13.2"/>
  <cols>
    <col min="1" max="1" width="7.109375" style="1" bestFit="1" customWidth="1"/>
    <col min="2" max="2" width="8.5546875" style="1" bestFit="1" customWidth="1"/>
    <col min="3" max="3" width="11.44140625" style="1" bestFit="1" customWidth="1"/>
    <col min="4" max="5" width="8.6640625" style="1" bestFit="1" customWidth="1"/>
    <col min="6" max="6" width="13.6640625" style="1" customWidth="1"/>
    <col min="7" max="7" width="14" style="1" customWidth="1"/>
    <col min="8" max="8" width="10.5546875" style="1" bestFit="1" customWidth="1"/>
    <col min="9" max="9" width="11.44140625" style="1" bestFit="1" customWidth="1"/>
    <col min="10" max="10" width="6.6640625" style="1" bestFit="1" customWidth="1"/>
    <col min="11" max="11" width="11.33203125" style="1" bestFit="1" customWidth="1"/>
    <col min="12" max="12" width="10.88671875" style="1" bestFit="1" customWidth="1"/>
    <col min="13" max="13" width="6.33203125" style="1" customWidth="1"/>
    <col min="14" max="14" width="12" style="1" bestFit="1" customWidth="1"/>
    <col min="15" max="15" width="15" style="1" bestFit="1" customWidth="1"/>
    <col min="16" max="16" width="12.109375" style="1" bestFit="1" customWidth="1"/>
    <col min="17" max="17" width="10.33203125" style="1" bestFit="1" customWidth="1"/>
    <col min="18" max="18" width="14.33203125" style="1" bestFit="1" customWidth="1"/>
    <col min="19" max="19" width="8.5546875" style="1" bestFit="1" customWidth="1"/>
    <col min="20" max="20" width="15.88671875" style="93" bestFit="1" customWidth="1"/>
    <col min="21" max="21" width="10.33203125" style="1" bestFit="1" customWidth="1"/>
    <col min="22" max="22" width="22.33203125" style="1" bestFit="1" customWidth="1"/>
    <col min="23" max="23" width="13.5546875" style="93" customWidth="1"/>
    <col min="24" max="24" width="12.88671875" style="93" bestFit="1" customWidth="1"/>
    <col min="25" max="25" width="15.88671875" style="93" bestFit="1" customWidth="1"/>
    <col min="26" max="26" width="12.44140625" style="93" bestFit="1" customWidth="1"/>
    <col min="27" max="27" width="11.44140625" style="93" bestFit="1" customWidth="1"/>
    <col min="28" max="28" width="13.5546875" style="93" bestFit="1" customWidth="1"/>
    <col min="29" max="29" width="16.33203125" style="93" bestFit="1" customWidth="1"/>
    <col min="30" max="30" width="17.5546875" style="93" customWidth="1"/>
    <col min="31" max="31" width="13.5546875" style="93" customWidth="1"/>
    <col min="32" max="32" width="18.44140625" style="93" customWidth="1"/>
    <col min="33" max="33" width="19" style="93" customWidth="1"/>
    <col min="34" max="34" width="21.88671875" style="93" customWidth="1"/>
    <col min="35" max="37" width="9.109375" style="1"/>
    <col min="38" max="38" width="11.109375" style="1" bestFit="1" customWidth="1"/>
    <col min="39" max="40" width="9.109375" style="1"/>
    <col min="41" max="41" width="11.109375" style="1" bestFit="1" customWidth="1"/>
    <col min="42" max="16384" width="9.109375" style="1"/>
  </cols>
  <sheetData>
    <row r="1" spans="1:41">
      <c r="B1" s="156" t="s">
        <v>58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K1" s="140" t="s">
        <v>224</v>
      </c>
      <c r="AL1" s="139">
        <v>46173</v>
      </c>
      <c r="AN1" s="140" t="s">
        <v>219</v>
      </c>
      <c r="AO1" s="139">
        <v>46142</v>
      </c>
    </row>
    <row r="2" spans="1:41" ht="65.25" customHeight="1">
      <c r="A2" s="42" t="s">
        <v>1</v>
      </c>
      <c r="B2" s="42" t="s">
        <v>26</v>
      </c>
      <c r="C2" s="41" t="s">
        <v>2</v>
      </c>
      <c r="D2" s="42" t="s">
        <v>27</v>
      </c>
      <c r="E2" s="42" t="s">
        <v>59</v>
      </c>
      <c r="F2" s="42" t="s">
        <v>60</v>
      </c>
      <c r="G2" s="83" t="s">
        <v>61</v>
      </c>
      <c r="H2" s="83" t="s">
        <v>62</v>
      </c>
      <c r="I2" s="83" t="s">
        <v>63</v>
      </c>
      <c r="J2" s="83" t="s">
        <v>5</v>
      </c>
      <c r="K2" s="83" t="s">
        <v>6</v>
      </c>
      <c r="L2" s="83" t="s">
        <v>7</v>
      </c>
      <c r="M2" s="83" t="s">
        <v>8</v>
      </c>
      <c r="N2" s="83" t="s">
        <v>64</v>
      </c>
      <c r="O2" s="83" t="s">
        <v>65</v>
      </c>
      <c r="P2" s="83" t="s">
        <v>66</v>
      </c>
      <c r="Q2" s="43" t="s">
        <v>67</v>
      </c>
      <c r="R2" s="43" t="s">
        <v>68</v>
      </c>
      <c r="S2" s="42" t="s">
        <v>69</v>
      </c>
      <c r="T2" s="84" t="s">
        <v>70</v>
      </c>
      <c r="U2" s="42" t="s">
        <v>71</v>
      </c>
      <c r="V2" s="42" t="s">
        <v>72</v>
      </c>
      <c r="W2" s="85" t="s">
        <v>73</v>
      </c>
      <c r="X2" s="85" t="s">
        <v>74</v>
      </c>
      <c r="Y2" s="85" t="s">
        <v>75</v>
      </c>
      <c r="Z2" s="85" t="s">
        <v>76</v>
      </c>
      <c r="AA2" s="84" t="s">
        <v>77</v>
      </c>
      <c r="AB2" s="84" t="s">
        <v>78</v>
      </c>
      <c r="AC2" s="84" t="s">
        <v>79</v>
      </c>
      <c r="AD2" s="84" t="s">
        <v>80</v>
      </c>
      <c r="AE2" s="84" t="s">
        <v>81</v>
      </c>
      <c r="AF2" s="84" t="s">
        <v>82</v>
      </c>
      <c r="AG2" s="84" t="s">
        <v>83</v>
      </c>
      <c r="AH2" s="84" t="s">
        <v>84</v>
      </c>
    </row>
    <row r="3" spans="1:41">
      <c r="A3" s="86">
        <v>1</v>
      </c>
      <c r="B3" s="86" t="s">
        <v>85</v>
      </c>
      <c r="C3" s="86" t="s">
        <v>86</v>
      </c>
      <c r="D3" s="86" t="s">
        <v>87</v>
      </c>
      <c r="E3" s="86" t="s">
        <v>88</v>
      </c>
      <c r="F3" s="86" t="s">
        <v>89</v>
      </c>
      <c r="G3" s="87">
        <v>122010.23999999999</v>
      </c>
      <c r="H3" s="30">
        <v>1534</v>
      </c>
      <c r="I3" s="87">
        <v>175177068.35270399</v>
      </c>
      <c r="J3" s="88">
        <v>5.5E-2</v>
      </c>
      <c r="K3" s="4">
        <v>46114</v>
      </c>
      <c r="L3" s="4">
        <v>46479</v>
      </c>
      <c r="M3" s="1">
        <v>365</v>
      </c>
      <c r="N3" s="6">
        <v>7303.3500000000085</v>
      </c>
      <c r="O3" s="6">
        <v>10485836.616285013</v>
      </c>
      <c r="P3" s="6">
        <v>129313.59</v>
      </c>
      <c r="Q3" s="30">
        <v>1180.5415068493164</v>
      </c>
      <c r="R3" s="30">
        <v>1694970.8503036047</v>
      </c>
      <c r="S3" s="64">
        <v>31</v>
      </c>
      <c r="T3" s="89">
        <f>N3*($AL$1-MAX(K3,$AO$1))/M3</f>
        <v>620.28452054794593</v>
      </c>
      <c r="U3" s="30">
        <v>1374.9431</v>
      </c>
      <c r="V3" s="32">
        <v>1373.2545</v>
      </c>
      <c r="W3" s="90">
        <f>IF($AO$1&lt;=K3,0,N3*(MIN($AO$1,L3)-K3)/M3)</f>
        <v>560.2569863013706</v>
      </c>
      <c r="X3" s="89">
        <f>W3*U3</f>
        <v>770321.47754186403</v>
      </c>
      <c r="Y3" s="90">
        <f>(G3+W3)*U3</f>
        <v>168527459.09488586</v>
      </c>
      <c r="Z3" s="90">
        <f>G3+W3</f>
        <v>122570.49698630137</v>
      </c>
      <c r="AA3" s="91">
        <f>W3+T3</f>
        <v>1180.5415068493166</v>
      </c>
      <c r="AB3" s="90">
        <f>AA3*V3</f>
        <v>1621183.936717605</v>
      </c>
      <c r="AC3" s="89"/>
      <c r="AD3" s="89">
        <f>AA3*(V3-U3)</f>
        <v>-1993.4623884656985</v>
      </c>
      <c r="AE3" s="91"/>
      <c r="AF3" s="91"/>
      <c r="AG3" s="91"/>
      <c r="AH3" s="91">
        <f>(G3+AA3)*V3</f>
        <v>169172295.06279761</v>
      </c>
    </row>
    <row r="4" spans="1:41">
      <c r="A4" s="86">
        <v>2</v>
      </c>
      <c r="B4" s="86" t="s">
        <v>90</v>
      </c>
      <c r="C4" s="86" t="s">
        <v>91</v>
      </c>
      <c r="D4" s="86" t="s">
        <v>87</v>
      </c>
      <c r="E4" s="86" t="s">
        <v>88</v>
      </c>
      <c r="F4" s="86" t="s">
        <v>89</v>
      </c>
      <c r="G4" s="87">
        <v>419232.88</v>
      </c>
      <c r="H4" s="30">
        <v>1373.2545</v>
      </c>
      <c r="I4" s="87">
        <v>601916584.013448</v>
      </c>
      <c r="J4" s="92">
        <v>0.06</v>
      </c>
      <c r="K4" s="4">
        <v>46159</v>
      </c>
      <c r="L4" s="4">
        <v>46338</v>
      </c>
      <c r="M4" s="1">
        <v>180</v>
      </c>
      <c r="N4" s="6">
        <v>12576.986400000002</v>
      </c>
      <c r="O4" s="6">
        <v>18057497.520403441</v>
      </c>
      <c r="P4" s="6">
        <v>431809.8664</v>
      </c>
      <c r="Q4" s="30">
        <v>978.21005333333346</v>
      </c>
      <c r="R4" s="30">
        <v>1404472.0293647123</v>
      </c>
      <c r="S4" s="64">
        <v>13</v>
      </c>
      <c r="T4" s="89">
        <f>N4*($AL$1-MAX(K4,$AO$1))/M4</f>
        <v>978.21005333333358</v>
      </c>
      <c r="U4" s="30">
        <v>1374.9431</v>
      </c>
      <c r="V4" s="32">
        <v>1373.2545</v>
      </c>
      <c r="W4" s="90">
        <f>IF($AO$1&lt;=K4,0,N4*(MIN($AO$1,L4)-K4)/M4)</f>
        <v>0</v>
      </c>
      <c r="X4" s="89">
        <f>W4*U4</f>
        <v>0</v>
      </c>
      <c r="Y4" s="90">
        <f>(G4+W4)*U4</f>
        <v>576421355.64912796</v>
      </c>
      <c r="Z4" s="90">
        <f>G4+W4</f>
        <v>419232.88</v>
      </c>
      <c r="AA4" s="91">
        <f>W4+T4</f>
        <v>978.21005333333358</v>
      </c>
      <c r="AB4" s="90">
        <f>AA4*V4</f>
        <v>1343331.3576852405</v>
      </c>
      <c r="AC4" s="89"/>
      <c r="AD4" s="89">
        <f>AA4*(V4-U4)</f>
        <v>-1651.8054960586194</v>
      </c>
      <c r="AE4" s="91"/>
      <c r="AF4" s="91"/>
      <c r="AG4" s="91"/>
      <c r="AH4" s="91">
        <f>(G4+AA4)*V4</f>
        <v>577056770.36564517</v>
      </c>
    </row>
    <row r="6" spans="1:41">
      <c r="T6" s="91"/>
    </row>
  </sheetData>
  <mergeCells count="1">
    <mergeCell ref="B1:A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E56E-9972-449D-ABBD-DEC200508935}">
  <dimension ref="A1:Q9"/>
  <sheetViews>
    <sheetView zoomScale="91" workbookViewId="0">
      <selection activeCell="Q2" sqref="Q2"/>
    </sheetView>
  </sheetViews>
  <sheetFormatPr defaultColWidth="9.109375" defaultRowHeight="13.2"/>
  <cols>
    <col min="1" max="2" width="9.109375" style="61"/>
    <col min="3" max="3" width="9.6640625" style="61" bestFit="1" customWidth="1"/>
    <col min="4" max="4" width="17.88671875" style="61" bestFit="1" customWidth="1"/>
    <col min="5" max="5" width="17.33203125" style="61" bestFit="1" customWidth="1"/>
    <col min="6" max="6" width="14" style="61" bestFit="1" customWidth="1"/>
    <col min="7" max="7" width="15.44140625" style="61" customWidth="1"/>
    <col min="8" max="8" width="17.88671875" style="61" bestFit="1" customWidth="1"/>
    <col min="9" max="9" width="15.44140625" style="61" bestFit="1" customWidth="1"/>
    <col min="10" max="10" width="19.88671875" style="61" customWidth="1"/>
    <col min="11" max="11" width="18.6640625" style="61" bestFit="1" customWidth="1"/>
    <col min="12" max="13" width="25" style="61" bestFit="1" customWidth="1"/>
    <col min="14" max="14" width="22" style="61" customWidth="1"/>
    <col min="15" max="15" width="9.109375" style="61"/>
    <col min="16" max="16" width="18.6640625" style="61" customWidth="1"/>
    <col min="17" max="17" width="25" style="61" customWidth="1"/>
    <col min="18" max="16384" width="9.109375" style="61"/>
  </cols>
  <sheetData>
    <row r="1" spans="1:17">
      <c r="C1" s="154" t="s">
        <v>92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1:17" ht="66.75" customHeight="1">
      <c r="A2" s="94" t="s">
        <v>93</v>
      </c>
      <c r="B2" s="41" t="s">
        <v>2</v>
      </c>
      <c r="C2" s="95" t="s">
        <v>27</v>
      </c>
      <c r="D2" s="96" t="s">
        <v>94</v>
      </c>
      <c r="E2" s="96" t="s">
        <v>95</v>
      </c>
      <c r="F2" s="96" t="s">
        <v>96</v>
      </c>
      <c r="G2" s="97" t="s">
        <v>97</v>
      </c>
      <c r="H2" s="97" t="s">
        <v>98</v>
      </c>
      <c r="I2" s="127" t="s">
        <v>99</v>
      </c>
      <c r="J2" s="98" t="s">
        <v>100</v>
      </c>
      <c r="K2" s="99" t="s">
        <v>101</v>
      </c>
      <c r="L2" s="98" t="s">
        <v>102</v>
      </c>
      <c r="M2" s="98" t="s">
        <v>103</v>
      </c>
      <c r="N2" s="100" t="s">
        <v>104</v>
      </c>
      <c r="O2" s="101" t="s">
        <v>105</v>
      </c>
      <c r="P2" s="100" t="s">
        <v>106</v>
      </c>
      <c r="Q2" s="100" t="s">
        <v>107</v>
      </c>
    </row>
    <row r="3" spans="1:17">
      <c r="A3" s="102"/>
      <c r="B3" s="102"/>
      <c r="D3" s="102"/>
      <c r="E3" s="103"/>
      <c r="F3" s="104"/>
      <c r="G3" s="104"/>
      <c r="H3" s="104"/>
      <c r="I3" s="105">
        <v>46173</v>
      </c>
      <c r="J3" s="106">
        <v>46173</v>
      </c>
      <c r="K3" s="107">
        <v>46142</v>
      </c>
      <c r="L3" s="108">
        <v>46173</v>
      </c>
      <c r="M3" s="108">
        <v>46173</v>
      </c>
      <c r="N3" s="109"/>
      <c r="O3" s="109"/>
      <c r="P3" s="110"/>
      <c r="Q3" s="82"/>
    </row>
    <row r="4" spans="1:17">
      <c r="D4" s="102"/>
      <c r="E4" s="103"/>
      <c r="G4" s="111"/>
      <c r="H4" s="111"/>
      <c r="I4" s="104" t="s">
        <v>108</v>
      </c>
      <c r="J4" s="112" t="s">
        <v>109</v>
      </c>
      <c r="K4" s="112"/>
      <c r="L4" s="112" t="s">
        <v>108</v>
      </c>
      <c r="M4" s="112"/>
      <c r="N4" s="112"/>
      <c r="O4" s="112"/>
      <c r="P4" s="82"/>
      <c r="Q4" s="113"/>
    </row>
    <row r="5" spans="1:17">
      <c r="A5" s="114">
        <v>1</v>
      </c>
      <c r="B5" s="114" t="s">
        <v>110</v>
      </c>
      <c r="C5" s="61" t="s">
        <v>87</v>
      </c>
      <c r="D5" s="115" t="s">
        <v>111</v>
      </c>
      <c r="E5" s="116">
        <v>45495</v>
      </c>
      <c r="F5" s="117">
        <v>257128</v>
      </c>
      <c r="G5" s="118">
        <v>23</v>
      </c>
      <c r="H5" s="118">
        <v>5913944</v>
      </c>
      <c r="I5" s="7">
        <v>44.5</v>
      </c>
      <c r="J5" s="119">
        <f>F5*I5</f>
        <v>11442196</v>
      </c>
      <c r="K5" s="120"/>
      <c r="L5" s="121">
        <f>J5-H5</f>
        <v>5528252</v>
      </c>
      <c r="M5" s="122"/>
      <c r="N5" s="122"/>
      <c r="O5" s="122"/>
      <c r="P5" s="123"/>
      <c r="Q5" s="122"/>
    </row>
    <row r="6" spans="1:17">
      <c r="A6" s="114">
        <v>2</v>
      </c>
      <c r="B6" s="114" t="s">
        <v>112</v>
      </c>
      <c r="C6" s="61" t="s">
        <v>113</v>
      </c>
      <c r="D6" s="115" t="s">
        <v>114</v>
      </c>
      <c r="E6" s="116">
        <v>45649</v>
      </c>
      <c r="F6" s="124">
        <v>51425</v>
      </c>
      <c r="G6" s="125">
        <v>35</v>
      </c>
      <c r="H6" s="118">
        <v>1799875</v>
      </c>
      <c r="I6" s="7">
        <v>44.5</v>
      </c>
      <c r="J6" s="119"/>
      <c r="K6" s="120"/>
      <c r="L6" s="121"/>
      <c r="M6" s="122"/>
      <c r="N6" s="122"/>
      <c r="O6" s="122"/>
      <c r="P6" s="123"/>
      <c r="Q6" s="122"/>
    </row>
    <row r="7" spans="1:17">
      <c r="A7" s="114">
        <v>3</v>
      </c>
      <c r="B7" s="114" t="s">
        <v>115</v>
      </c>
      <c r="C7" s="61" t="s">
        <v>113</v>
      </c>
      <c r="D7" s="115" t="s">
        <v>114</v>
      </c>
      <c r="E7" s="116">
        <v>45649</v>
      </c>
      <c r="F7" s="124">
        <v>142805717</v>
      </c>
      <c r="G7" s="125">
        <v>35</v>
      </c>
      <c r="H7" s="118">
        <v>4998200095</v>
      </c>
      <c r="I7" s="7">
        <v>44.5</v>
      </c>
      <c r="J7" s="119"/>
      <c r="K7" s="120"/>
      <c r="L7" s="121"/>
      <c r="M7" s="122"/>
      <c r="N7" s="122"/>
      <c r="O7" s="122"/>
      <c r="P7" s="123"/>
      <c r="Q7" s="122"/>
    </row>
    <row r="8" spans="1:17">
      <c r="A8" s="114">
        <v>4</v>
      </c>
      <c r="B8" s="114" t="s">
        <v>116</v>
      </c>
      <c r="C8" s="61" t="s">
        <v>113</v>
      </c>
      <c r="D8" s="115" t="s">
        <v>114</v>
      </c>
      <c r="E8" s="116">
        <v>46060</v>
      </c>
      <c r="F8" s="124">
        <v>11008790</v>
      </c>
      <c r="G8" s="125">
        <v>50</v>
      </c>
      <c r="H8" s="118">
        <v>550439500</v>
      </c>
      <c r="I8" s="7">
        <v>44.5</v>
      </c>
      <c r="J8" s="119"/>
      <c r="K8" s="121"/>
      <c r="L8" s="121"/>
      <c r="M8" s="122"/>
      <c r="N8" s="82"/>
      <c r="O8" s="82"/>
      <c r="P8" s="123"/>
      <c r="Q8" s="126"/>
    </row>
    <row r="9" spans="1:17">
      <c r="A9" s="114">
        <v>5</v>
      </c>
      <c r="B9" s="114" t="s">
        <v>117</v>
      </c>
      <c r="C9" s="61" t="s">
        <v>113</v>
      </c>
      <c r="D9" s="115" t="s">
        <v>114</v>
      </c>
      <c r="E9" s="116">
        <v>46060</v>
      </c>
      <c r="F9" s="124">
        <v>48991210</v>
      </c>
      <c r="G9" s="125">
        <v>50</v>
      </c>
      <c r="H9" s="118">
        <v>2449560500</v>
      </c>
      <c r="I9" s="7">
        <v>44.5</v>
      </c>
      <c r="J9" s="119"/>
      <c r="K9" s="121"/>
      <c r="L9" s="121"/>
      <c r="M9" s="122"/>
      <c r="N9" s="82"/>
      <c r="O9" s="82"/>
      <c r="P9" s="123"/>
      <c r="Q9" s="126"/>
    </row>
  </sheetData>
  <mergeCells count="1">
    <mergeCell ref="C1:Q1"/>
  </mergeCells>
  <phoneticPr fontId="16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DCAF-FE88-4C19-80BE-76031FC40388}">
  <dimension ref="A1:AR18"/>
  <sheetViews>
    <sheetView topLeftCell="Q1" workbookViewId="0">
      <selection activeCell="Z3" sqref="Z3"/>
    </sheetView>
  </sheetViews>
  <sheetFormatPr defaultColWidth="24.88671875" defaultRowHeight="13.8"/>
  <cols>
    <col min="1" max="2" width="9.44140625" style="27" customWidth="1"/>
    <col min="3" max="20" width="24.88671875" style="27"/>
    <col min="21" max="21" width="24.88671875" style="145"/>
    <col min="22" max="38" width="24.88671875" style="51"/>
    <col min="39" max="39" width="24.88671875" style="27"/>
    <col min="40" max="40" width="14.109375" style="27" customWidth="1"/>
    <col min="41" max="41" width="10.5546875" style="27" customWidth="1"/>
    <col min="42" max="42" width="24.88671875" style="27"/>
    <col min="43" max="43" width="11.109375" style="27" customWidth="1"/>
    <col min="44" max="44" width="11.6640625" style="27" customWidth="1"/>
    <col min="45" max="16384" width="24.88671875" style="27"/>
  </cols>
  <sheetData>
    <row r="1" spans="1:44" s="70" customFormat="1">
      <c r="C1" s="157" t="s">
        <v>118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N1" s="70" t="s">
        <v>224</v>
      </c>
      <c r="AO1" s="141">
        <v>46173</v>
      </c>
      <c r="AQ1" s="70" t="s">
        <v>219</v>
      </c>
      <c r="AR1" s="141">
        <v>46142</v>
      </c>
    </row>
    <row r="2" spans="1:44" s="46" customFormat="1" ht="51.6">
      <c r="A2" s="41" t="s">
        <v>1</v>
      </c>
      <c r="B2" s="41" t="s">
        <v>2</v>
      </c>
      <c r="C2" s="41" t="s">
        <v>26</v>
      </c>
      <c r="D2" s="42" t="s">
        <v>119</v>
      </c>
      <c r="E2" s="42" t="s">
        <v>120</v>
      </c>
      <c r="F2" s="43" t="s">
        <v>121</v>
      </c>
      <c r="G2" s="40" t="s">
        <v>122</v>
      </c>
      <c r="H2" s="40" t="s">
        <v>123</v>
      </c>
      <c r="I2" s="44" t="s">
        <v>124</v>
      </c>
      <c r="J2" s="45" t="s">
        <v>125</v>
      </c>
      <c r="K2" s="44" t="s">
        <v>126</v>
      </c>
      <c r="L2" s="44" t="s">
        <v>127</v>
      </c>
      <c r="M2" s="44" t="s">
        <v>128</v>
      </c>
      <c r="N2" s="44" t="s">
        <v>129</v>
      </c>
      <c r="O2" s="44" t="s">
        <v>130</v>
      </c>
      <c r="P2" s="40" t="s">
        <v>131</v>
      </c>
      <c r="Q2" s="40" t="s">
        <v>132</v>
      </c>
      <c r="R2" s="40" t="s">
        <v>133</v>
      </c>
      <c r="S2" s="40" t="s">
        <v>134</v>
      </c>
      <c r="T2" s="40" t="s">
        <v>135</v>
      </c>
      <c r="U2" s="144" t="s">
        <v>226</v>
      </c>
      <c r="V2" s="47" t="s">
        <v>136</v>
      </c>
      <c r="W2" s="48" t="s">
        <v>137</v>
      </c>
      <c r="X2" s="48" t="s">
        <v>138</v>
      </c>
      <c r="Y2" s="49" t="s">
        <v>139</v>
      </c>
      <c r="Z2" s="50" t="s">
        <v>140</v>
      </c>
      <c r="AA2" s="48" t="s">
        <v>141</v>
      </c>
      <c r="AB2" s="49" t="s">
        <v>142</v>
      </c>
      <c r="AC2" s="49" t="s">
        <v>143</v>
      </c>
      <c r="AD2" s="49" t="s">
        <v>144</v>
      </c>
      <c r="AE2" s="49" t="s">
        <v>145</v>
      </c>
      <c r="AF2" s="49" t="s">
        <v>146</v>
      </c>
      <c r="AG2" s="49" t="s">
        <v>147</v>
      </c>
      <c r="AH2" s="49" t="s">
        <v>148</v>
      </c>
      <c r="AI2" s="49" t="s">
        <v>149</v>
      </c>
      <c r="AJ2" s="49" t="s">
        <v>150</v>
      </c>
      <c r="AK2" s="49" t="s">
        <v>151</v>
      </c>
      <c r="AL2" s="49" t="s">
        <v>152</v>
      </c>
    </row>
    <row r="3" spans="1:44">
      <c r="A3" s="52">
        <v>1</v>
      </c>
      <c r="B3" s="33" t="s">
        <v>153</v>
      </c>
      <c r="C3" s="33" t="s">
        <v>154</v>
      </c>
      <c r="D3" s="1" t="s">
        <v>87</v>
      </c>
      <c r="E3" s="1" t="s">
        <v>153</v>
      </c>
      <c r="F3" s="1" t="s">
        <v>155</v>
      </c>
      <c r="G3" s="4">
        <v>44405</v>
      </c>
      <c r="H3" s="4">
        <v>50148</v>
      </c>
      <c r="I3" s="5">
        <v>0.162499</v>
      </c>
      <c r="J3" s="5">
        <v>0.125001</v>
      </c>
      <c r="K3" s="28">
        <v>75000</v>
      </c>
      <c r="L3" s="29">
        <v>1000</v>
      </c>
      <c r="M3" s="31">
        <v>75000000</v>
      </c>
      <c r="N3" s="32">
        <v>1299.6426202185794</v>
      </c>
      <c r="O3" s="32">
        <v>1254.8</v>
      </c>
      <c r="P3" s="29">
        <v>94110000</v>
      </c>
      <c r="Q3" s="29">
        <v>19110000</v>
      </c>
      <c r="R3" s="32">
        <v>97473196.516393453</v>
      </c>
      <c r="S3" s="32"/>
      <c r="T3" s="29">
        <v>3363196.5163934529</v>
      </c>
      <c r="U3" s="146">
        <v>10</v>
      </c>
      <c r="V3" s="147">
        <f>(M3*I3/2)*U3</f>
        <v>60937125</v>
      </c>
      <c r="W3" s="149">
        <f>M3*I3*($AR$1-AB3)/365</f>
        <v>400682.46575342468</v>
      </c>
      <c r="X3" s="143">
        <f>J3</f>
        <v>0.125001</v>
      </c>
      <c r="Y3" s="51">
        <f>MAX(0,MIN($AO$1,H3)-MAX($AR$1,G3,AB3))</f>
        <v>31</v>
      </c>
      <c r="Z3" s="147">
        <f>M3*I3*Y3/365</f>
        <v>1035096.3698630137</v>
      </c>
      <c r="AA3" s="148">
        <f>Z3+W3</f>
        <v>1435778.8356164384</v>
      </c>
      <c r="AB3" s="142">
        <f>EDATE(AC3,-6)</f>
        <v>46130</v>
      </c>
      <c r="AC3" s="142">
        <f>EDATE(H3,-6*INT(DATEDIF($AO$1,H3,"m")/6))</f>
        <v>46313</v>
      </c>
    </row>
    <row r="4" spans="1:44">
      <c r="A4" s="52">
        <v>2</v>
      </c>
      <c r="B4" s="33" t="s">
        <v>156</v>
      </c>
      <c r="C4" s="33" t="s">
        <v>154</v>
      </c>
      <c r="D4" s="1" t="s">
        <v>87</v>
      </c>
      <c r="E4" s="1" t="s">
        <v>156</v>
      </c>
      <c r="F4" s="1" t="s">
        <v>157</v>
      </c>
      <c r="G4" s="4">
        <v>44484</v>
      </c>
      <c r="H4" s="4">
        <v>46806</v>
      </c>
      <c r="I4" s="5">
        <v>0.13980000000000001</v>
      </c>
      <c r="J4" s="5">
        <v>0.110999</v>
      </c>
      <c r="K4" s="28">
        <v>90000</v>
      </c>
      <c r="L4" s="29">
        <v>1000</v>
      </c>
      <c r="M4" s="31">
        <v>90000000</v>
      </c>
      <c r="N4" s="32">
        <v>1148.6342391863282</v>
      </c>
      <c r="O4" s="30">
        <v>1128.5000000558932</v>
      </c>
      <c r="P4" s="29">
        <v>101565000.00503039</v>
      </c>
      <c r="Q4" s="29">
        <v>11565000.005030394</v>
      </c>
      <c r="R4" s="34">
        <v>103377081.52173913</v>
      </c>
      <c r="S4" s="34"/>
      <c r="T4" s="29">
        <v>1812081.5167087317</v>
      </c>
      <c r="U4" s="146">
        <v>10</v>
      </c>
      <c r="V4" s="147">
        <f t="shared" ref="V4:V17" si="0">(M4*I4/2)*U4</f>
        <v>62910000</v>
      </c>
      <c r="W4" s="149">
        <f t="shared" ref="W4:W17" si="1">M4*I4*($AR$1-AB4)/365</f>
        <v>2275101.3698630137</v>
      </c>
      <c r="X4" s="143">
        <f t="shared" ref="X4:X17" si="2">J4</f>
        <v>0.110999</v>
      </c>
      <c r="Y4" s="51">
        <f t="shared" ref="Y4:Y17" si="3">MAX(0,MIN($AO$1,H4)-MAX($AR$1,G4,AB4))</f>
        <v>31</v>
      </c>
      <c r="Z4" s="147">
        <f t="shared" ref="Z4:Z17" si="4">M4*I4*Y4/365</f>
        <v>1068608.2191780822</v>
      </c>
      <c r="AA4" s="148">
        <f t="shared" ref="AA4:AA17" si="5">Z4+W4</f>
        <v>3343709.5890410962</v>
      </c>
      <c r="AB4" s="142">
        <f t="shared" ref="AB4:AB17" si="6">EDATE(AC4,-6)</f>
        <v>46076</v>
      </c>
      <c r="AC4" s="142">
        <f t="shared" ref="AC4:AC14" si="7">EDATE(H4,-6*INT(DATEDIF($AO$1,H4,"m")/6))</f>
        <v>46257</v>
      </c>
    </row>
    <row r="5" spans="1:44">
      <c r="A5" s="52">
        <v>3</v>
      </c>
      <c r="B5" s="33" t="s">
        <v>158</v>
      </c>
      <c r="C5" s="33" t="s">
        <v>111</v>
      </c>
      <c r="D5" s="1" t="s">
        <v>113</v>
      </c>
      <c r="E5" s="1" t="s">
        <v>158</v>
      </c>
      <c r="F5" s="1" t="s">
        <v>159</v>
      </c>
      <c r="G5" s="4">
        <v>44469</v>
      </c>
      <c r="H5" s="4">
        <v>49752</v>
      </c>
      <c r="I5" s="5">
        <v>0.124</v>
      </c>
      <c r="J5" s="5">
        <v>0.12600164</v>
      </c>
      <c r="K5" s="28">
        <v>240000</v>
      </c>
      <c r="L5" s="29">
        <v>1000</v>
      </c>
      <c r="M5" s="31">
        <v>240000000</v>
      </c>
      <c r="N5" s="32">
        <v>990.82049723756904</v>
      </c>
      <c r="O5" s="35">
        <v>986.71</v>
      </c>
      <c r="P5" s="29">
        <v>236810400</v>
      </c>
      <c r="Q5" s="29">
        <v>-3189600</v>
      </c>
      <c r="R5" s="29">
        <v>237796919.337017</v>
      </c>
      <c r="S5" s="29"/>
      <c r="T5" s="29">
        <v>986519.33701699972</v>
      </c>
      <c r="U5" s="146">
        <v>10</v>
      </c>
      <c r="V5" s="147">
        <f t="shared" si="0"/>
        <v>148800000</v>
      </c>
      <c r="W5" s="149">
        <f t="shared" si="1"/>
        <v>3505972.6027397262</v>
      </c>
      <c r="X5" s="143">
        <f t="shared" si="2"/>
        <v>0.12600164</v>
      </c>
      <c r="Y5" s="51">
        <f t="shared" si="3"/>
        <v>31</v>
      </c>
      <c r="Z5" s="147">
        <f t="shared" si="4"/>
        <v>2527561.6438356163</v>
      </c>
      <c r="AA5" s="148">
        <f t="shared" si="5"/>
        <v>6033534.2465753425</v>
      </c>
      <c r="AB5" s="142">
        <f t="shared" si="6"/>
        <v>46099</v>
      </c>
      <c r="AC5" s="142">
        <f t="shared" si="7"/>
        <v>46283</v>
      </c>
    </row>
    <row r="6" spans="1:44">
      <c r="A6" s="52">
        <v>4</v>
      </c>
      <c r="B6" s="33" t="s">
        <v>160</v>
      </c>
      <c r="C6" s="33" t="s">
        <v>111</v>
      </c>
      <c r="D6" s="1" t="s">
        <v>161</v>
      </c>
      <c r="E6" s="36" t="s">
        <v>160</v>
      </c>
      <c r="F6" s="36" t="s">
        <v>159</v>
      </c>
      <c r="G6" s="4">
        <v>44538</v>
      </c>
      <c r="H6" s="4">
        <v>49752</v>
      </c>
      <c r="I6" s="5">
        <v>0.124</v>
      </c>
      <c r="J6" s="37">
        <v>0.1275</v>
      </c>
      <c r="K6" s="28">
        <v>200000</v>
      </c>
      <c r="L6" s="29">
        <v>1000</v>
      </c>
      <c r="M6" s="31">
        <v>200000000</v>
      </c>
      <c r="N6" s="32">
        <v>1004.5458563535913</v>
      </c>
      <c r="O6" s="32">
        <v>976.80000001184749</v>
      </c>
      <c r="P6" s="29">
        <v>195360000.00236949</v>
      </c>
      <c r="Q6" s="29">
        <v>-4639999.9976305068</v>
      </c>
      <c r="R6" s="38">
        <v>200909171.27308774</v>
      </c>
      <c r="S6" s="38"/>
      <c r="T6" s="29">
        <v>5549171.2707182467</v>
      </c>
      <c r="U6" s="146">
        <v>9</v>
      </c>
      <c r="V6" s="147">
        <f t="shared" si="0"/>
        <v>111600000</v>
      </c>
      <c r="W6" s="149">
        <f t="shared" si="1"/>
        <v>2921643.8356164382</v>
      </c>
      <c r="X6" s="143">
        <f t="shared" si="2"/>
        <v>0.1275</v>
      </c>
      <c r="Y6" s="51">
        <f t="shared" si="3"/>
        <v>31</v>
      </c>
      <c r="Z6" s="147">
        <f t="shared" si="4"/>
        <v>2106301.3698630137</v>
      </c>
      <c r="AA6" s="148">
        <f t="shared" si="5"/>
        <v>5027945.2054794524</v>
      </c>
      <c r="AB6" s="142">
        <f t="shared" si="6"/>
        <v>46099</v>
      </c>
      <c r="AC6" s="142">
        <f t="shared" si="7"/>
        <v>46283</v>
      </c>
    </row>
    <row r="7" spans="1:44">
      <c r="A7" s="52">
        <v>5</v>
      </c>
      <c r="B7" s="33" t="s">
        <v>162</v>
      </c>
      <c r="C7" s="33" t="s">
        <v>111</v>
      </c>
      <c r="D7" s="1" t="s">
        <v>161</v>
      </c>
      <c r="E7" s="36" t="s">
        <v>162</v>
      </c>
      <c r="F7" s="36" t="s">
        <v>159</v>
      </c>
      <c r="G7" s="4">
        <v>44588</v>
      </c>
      <c r="H7" s="4">
        <v>49752</v>
      </c>
      <c r="I7" s="5">
        <v>0.124</v>
      </c>
      <c r="J7" s="37">
        <v>0.125</v>
      </c>
      <c r="K7" s="28">
        <v>250000</v>
      </c>
      <c r="L7" s="29">
        <v>1000</v>
      </c>
      <c r="M7" s="31">
        <v>250000000</v>
      </c>
      <c r="N7" s="32">
        <v>1037.9363281767955</v>
      </c>
      <c r="O7" s="32">
        <v>993.0634</v>
      </c>
      <c r="P7" s="29">
        <v>248265850</v>
      </c>
      <c r="Q7" s="29">
        <v>-1734150</v>
      </c>
      <c r="R7" s="38">
        <v>259484078.80000001</v>
      </c>
      <c r="S7" s="38"/>
      <c r="T7" s="29">
        <v>11218228.800000012</v>
      </c>
      <c r="U7" s="146">
        <v>9</v>
      </c>
      <c r="V7" s="147">
        <f t="shared" si="0"/>
        <v>139500000</v>
      </c>
      <c r="W7" s="149">
        <f t="shared" si="1"/>
        <v>3652054.7945205481</v>
      </c>
      <c r="X7" s="143">
        <f t="shared" si="2"/>
        <v>0.125</v>
      </c>
      <c r="Y7" s="51">
        <f t="shared" si="3"/>
        <v>31</v>
      </c>
      <c r="Z7" s="147">
        <f t="shared" si="4"/>
        <v>2632876.7123287669</v>
      </c>
      <c r="AA7" s="148">
        <f t="shared" si="5"/>
        <v>6284931.506849315</v>
      </c>
      <c r="AB7" s="142">
        <f t="shared" si="6"/>
        <v>46099</v>
      </c>
      <c r="AC7" s="142">
        <f t="shared" si="7"/>
        <v>46283</v>
      </c>
    </row>
    <row r="8" spans="1:44">
      <c r="A8" s="52">
        <v>6</v>
      </c>
      <c r="B8" s="33" t="s">
        <v>163</v>
      </c>
      <c r="C8" s="33" t="s">
        <v>111</v>
      </c>
      <c r="D8" s="1" t="s">
        <v>161</v>
      </c>
      <c r="E8" s="36" t="s">
        <v>163</v>
      </c>
      <c r="F8" s="36" t="s">
        <v>159</v>
      </c>
      <c r="G8" s="4">
        <v>44546</v>
      </c>
      <c r="H8" s="4">
        <v>49752</v>
      </c>
      <c r="I8" s="5">
        <v>0.124</v>
      </c>
      <c r="J8" s="37">
        <v>0.1275</v>
      </c>
      <c r="K8" s="28">
        <v>100000</v>
      </c>
      <c r="L8" s="29">
        <v>1000</v>
      </c>
      <c r="M8" s="31">
        <v>100000000</v>
      </c>
      <c r="N8" s="32">
        <v>1007.2707013519788</v>
      </c>
      <c r="O8" s="39">
        <v>976.78499999999997</v>
      </c>
      <c r="P8" s="29">
        <v>97678500</v>
      </c>
      <c r="Q8" s="29">
        <v>-2321500</v>
      </c>
      <c r="R8" s="38">
        <v>100727070.13</v>
      </c>
      <c r="S8" s="38"/>
      <c r="T8" s="29">
        <v>3048570.1299999952</v>
      </c>
      <c r="U8" s="146">
        <v>9</v>
      </c>
      <c r="V8" s="147">
        <f t="shared" si="0"/>
        <v>55800000</v>
      </c>
      <c r="W8" s="149">
        <f t="shared" si="1"/>
        <v>1460821.9178082191</v>
      </c>
      <c r="X8" s="143">
        <f t="shared" si="2"/>
        <v>0.1275</v>
      </c>
      <c r="Y8" s="51">
        <f t="shared" si="3"/>
        <v>31</v>
      </c>
      <c r="Z8" s="147">
        <f t="shared" si="4"/>
        <v>1053150.6849315069</v>
      </c>
      <c r="AA8" s="148">
        <f t="shared" si="5"/>
        <v>2513972.6027397262</v>
      </c>
      <c r="AB8" s="142">
        <f t="shared" si="6"/>
        <v>46099</v>
      </c>
      <c r="AC8" s="142">
        <f t="shared" si="7"/>
        <v>46283</v>
      </c>
    </row>
    <row r="9" spans="1:44">
      <c r="A9" s="52">
        <v>7</v>
      </c>
      <c r="B9" s="33" t="s">
        <v>164</v>
      </c>
      <c r="C9" s="33" t="s">
        <v>111</v>
      </c>
      <c r="D9" s="1" t="s">
        <v>161</v>
      </c>
      <c r="E9" s="36" t="s">
        <v>165</v>
      </c>
      <c r="F9" s="36" t="s">
        <v>166</v>
      </c>
      <c r="G9" s="4">
        <v>44519</v>
      </c>
      <c r="H9" s="4">
        <v>54874</v>
      </c>
      <c r="I9" s="37">
        <v>0.1298</v>
      </c>
      <c r="J9" s="37">
        <v>0.13300000000000001</v>
      </c>
      <c r="K9" s="28">
        <v>150000</v>
      </c>
      <c r="L9" s="29">
        <v>1000</v>
      </c>
      <c r="M9" s="31">
        <v>150000000</v>
      </c>
      <c r="N9" s="29">
        <v>995.13781342733296</v>
      </c>
      <c r="O9" s="29">
        <v>976.13394602401797</v>
      </c>
      <c r="P9" s="29">
        <v>146420091.90360269</v>
      </c>
      <c r="Q9" s="29">
        <v>-3579908.0963973105</v>
      </c>
      <c r="R9" s="38">
        <v>149270627.00999999</v>
      </c>
      <c r="S9" s="38"/>
      <c r="T9" s="29">
        <v>2850535.106397301</v>
      </c>
      <c r="U9" s="146">
        <v>9</v>
      </c>
      <c r="V9" s="147">
        <f t="shared" si="0"/>
        <v>87615000</v>
      </c>
      <c r="W9" s="149">
        <f t="shared" si="1"/>
        <v>1813643.8356164384</v>
      </c>
      <c r="X9" s="143">
        <f t="shared" si="2"/>
        <v>0.13300000000000001</v>
      </c>
      <c r="Y9" s="51">
        <f t="shared" si="3"/>
        <v>31</v>
      </c>
      <c r="Z9" s="147">
        <f t="shared" si="4"/>
        <v>1653616.4383561644</v>
      </c>
      <c r="AA9" s="148">
        <f t="shared" si="5"/>
        <v>3467260.2739726026</v>
      </c>
      <c r="AB9" s="142">
        <f t="shared" si="6"/>
        <v>46108</v>
      </c>
      <c r="AC9" s="142">
        <f t="shared" si="7"/>
        <v>46292</v>
      </c>
    </row>
    <row r="10" spans="1:44">
      <c r="A10" s="52">
        <v>8</v>
      </c>
      <c r="B10" s="33" t="s">
        <v>167</v>
      </c>
      <c r="C10" s="33" t="s">
        <v>111</v>
      </c>
      <c r="D10" s="1" t="s">
        <v>161</v>
      </c>
      <c r="E10" s="36" t="s">
        <v>164</v>
      </c>
      <c r="F10" s="36" t="s">
        <v>168</v>
      </c>
      <c r="G10" s="4">
        <v>44624</v>
      </c>
      <c r="H10" s="4">
        <v>51887</v>
      </c>
      <c r="I10" s="37">
        <v>0.13</v>
      </c>
      <c r="J10" s="37">
        <v>0.1265001</v>
      </c>
      <c r="K10" s="28">
        <v>300000</v>
      </c>
      <c r="L10" s="29">
        <v>1000</v>
      </c>
      <c r="M10" s="31">
        <v>300000000</v>
      </c>
      <c r="N10" s="32">
        <v>1039.9828729281767</v>
      </c>
      <c r="O10" s="32">
        <v>1024.8999999999999</v>
      </c>
      <c r="P10" s="29">
        <v>307469999.99999994</v>
      </c>
      <c r="Q10" s="29">
        <v>7469999.9999999404</v>
      </c>
      <c r="R10" s="38">
        <v>311994861.88</v>
      </c>
      <c r="S10" s="38"/>
      <c r="T10" s="29">
        <v>4524861.8800000548</v>
      </c>
      <c r="U10" s="146">
        <v>8</v>
      </c>
      <c r="V10" s="147">
        <f t="shared" si="0"/>
        <v>156000000</v>
      </c>
      <c r="W10" s="149">
        <f t="shared" si="1"/>
        <v>10578082.191780822</v>
      </c>
      <c r="X10" s="143">
        <f t="shared" si="2"/>
        <v>0.1265001</v>
      </c>
      <c r="Y10" s="51">
        <f t="shared" si="3"/>
        <v>31</v>
      </c>
      <c r="Z10" s="147">
        <f t="shared" si="4"/>
        <v>3312328.7671232875</v>
      </c>
      <c r="AA10" s="148">
        <f t="shared" si="5"/>
        <v>13890410.95890411</v>
      </c>
      <c r="AB10" s="142">
        <f t="shared" si="6"/>
        <v>46043</v>
      </c>
      <c r="AC10" s="142">
        <f t="shared" si="7"/>
        <v>46224</v>
      </c>
    </row>
    <row r="11" spans="1:44">
      <c r="A11" s="52">
        <v>9</v>
      </c>
      <c r="B11" s="33" t="s">
        <v>169</v>
      </c>
      <c r="C11" s="33" t="s">
        <v>111</v>
      </c>
      <c r="D11" s="1" t="s">
        <v>161</v>
      </c>
      <c r="E11" s="36" t="s">
        <v>170</v>
      </c>
      <c r="F11" s="36" t="s">
        <v>168</v>
      </c>
      <c r="G11" s="4">
        <v>44630</v>
      </c>
      <c r="H11" s="4">
        <v>51887</v>
      </c>
      <c r="I11" s="37">
        <v>0.13</v>
      </c>
      <c r="J11" s="37">
        <v>0.12251049999999999</v>
      </c>
      <c r="K11" s="28">
        <v>200000</v>
      </c>
      <c r="L11" s="29">
        <v>1000</v>
      </c>
      <c r="M11" s="31">
        <v>200000000</v>
      </c>
      <c r="N11" s="32">
        <v>1072.2375690607735</v>
      </c>
      <c r="O11" s="32">
        <v>1055</v>
      </c>
      <c r="P11" s="29">
        <v>211000000</v>
      </c>
      <c r="Q11" s="29">
        <v>11000000</v>
      </c>
      <c r="R11" s="38">
        <v>214447513.81</v>
      </c>
      <c r="S11" s="38"/>
      <c r="T11" s="29">
        <v>3447513.8100000024</v>
      </c>
      <c r="U11" s="146">
        <v>8</v>
      </c>
      <c r="V11" s="147">
        <f t="shared" si="0"/>
        <v>104000000</v>
      </c>
      <c r="W11" s="149">
        <f t="shared" si="1"/>
        <v>7052054.7945205476</v>
      </c>
      <c r="X11" s="143">
        <f t="shared" si="2"/>
        <v>0.12251049999999999</v>
      </c>
      <c r="Y11" s="51">
        <f t="shared" si="3"/>
        <v>31</v>
      </c>
      <c r="Z11" s="147">
        <f t="shared" si="4"/>
        <v>2208219.1780821919</v>
      </c>
      <c r="AA11" s="148">
        <f t="shared" si="5"/>
        <v>9260273.9726027399</v>
      </c>
      <c r="AB11" s="142">
        <f t="shared" si="6"/>
        <v>46043</v>
      </c>
      <c r="AC11" s="142">
        <f t="shared" si="7"/>
        <v>46224</v>
      </c>
    </row>
    <row r="12" spans="1:44">
      <c r="A12" s="52">
        <v>10</v>
      </c>
      <c r="B12" s="33" t="s">
        <v>171</v>
      </c>
      <c r="C12" s="33" t="s">
        <v>111</v>
      </c>
      <c r="D12" s="1" t="s">
        <v>161</v>
      </c>
      <c r="E12" s="36" t="s">
        <v>167</v>
      </c>
      <c r="F12" s="36" t="s">
        <v>168</v>
      </c>
      <c r="G12" s="4">
        <v>44644</v>
      </c>
      <c r="H12" s="4">
        <v>51887</v>
      </c>
      <c r="I12" s="37">
        <v>0.13</v>
      </c>
      <c r="J12" s="37">
        <v>0.125</v>
      </c>
      <c r="K12" s="28">
        <v>200000</v>
      </c>
      <c r="L12" s="29">
        <v>1000</v>
      </c>
      <c r="M12" s="31">
        <v>200000000</v>
      </c>
      <c r="N12" s="32">
        <v>1058.2094678472315</v>
      </c>
      <c r="O12" s="32">
        <v>1035.9442744770658</v>
      </c>
      <c r="P12" s="29">
        <v>207188854.89541316</v>
      </c>
      <c r="Q12" s="29">
        <v>7188854.8954131603</v>
      </c>
      <c r="R12" s="38">
        <v>211641893.56999999</v>
      </c>
      <c r="S12" s="38"/>
      <c r="T12" s="29">
        <v>4453038.6745868325</v>
      </c>
      <c r="U12" s="146">
        <v>8</v>
      </c>
      <c r="V12" s="147">
        <f t="shared" si="0"/>
        <v>104000000</v>
      </c>
      <c r="W12" s="149">
        <f t="shared" si="1"/>
        <v>7052054.7945205476</v>
      </c>
      <c r="X12" s="143">
        <f t="shared" si="2"/>
        <v>0.125</v>
      </c>
      <c r="Y12" s="51">
        <f t="shared" si="3"/>
        <v>31</v>
      </c>
      <c r="Z12" s="147">
        <f t="shared" si="4"/>
        <v>2208219.1780821919</v>
      </c>
      <c r="AA12" s="148">
        <f t="shared" si="5"/>
        <v>9260273.9726027399</v>
      </c>
      <c r="AB12" s="142">
        <f t="shared" si="6"/>
        <v>46043</v>
      </c>
      <c r="AC12" s="142">
        <f t="shared" si="7"/>
        <v>46224</v>
      </c>
    </row>
    <row r="13" spans="1:44">
      <c r="A13" s="52">
        <v>11</v>
      </c>
      <c r="B13" s="33" t="s">
        <v>172</v>
      </c>
      <c r="C13" s="33" t="s">
        <v>111</v>
      </c>
      <c r="D13" s="1" t="s">
        <v>161</v>
      </c>
      <c r="E13" s="36" t="s">
        <v>169</v>
      </c>
      <c r="F13" s="36" t="s">
        <v>168</v>
      </c>
      <c r="G13" s="4">
        <v>44673</v>
      </c>
      <c r="H13" s="4">
        <v>51887</v>
      </c>
      <c r="I13" s="37">
        <v>0.13</v>
      </c>
      <c r="J13" s="37">
        <v>0.12699257999999999</v>
      </c>
      <c r="K13" s="28">
        <v>150000</v>
      </c>
      <c r="L13" s="29">
        <v>1000</v>
      </c>
      <c r="M13" s="31">
        <v>150000000</v>
      </c>
      <c r="N13" s="32">
        <v>1053.7795580110496</v>
      </c>
      <c r="O13" s="32">
        <v>1021.1</v>
      </c>
      <c r="P13" s="29">
        <v>153165000</v>
      </c>
      <c r="Q13" s="29">
        <v>3165000</v>
      </c>
      <c r="R13" s="38">
        <v>158066933.69999999</v>
      </c>
      <c r="S13" s="38"/>
      <c r="T13" s="29">
        <v>4901933.6999999881</v>
      </c>
      <c r="U13" s="146">
        <v>8</v>
      </c>
      <c r="V13" s="147">
        <f t="shared" si="0"/>
        <v>78000000</v>
      </c>
      <c r="W13" s="149">
        <f t="shared" si="1"/>
        <v>5289041.0958904112</v>
      </c>
      <c r="X13" s="143">
        <f t="shared" si="2"/>
        <v>0.12699257999999999</v>
      </c>
      <c r="Y13" s="51">
        <f t="shared" si="3"/>
        <v>31</v>
      </c>
      <c r="Z13" s="147">
        <f t="shared" si="4"/>
        <v>1656164.3835616438</v>
      </c>
      <c r="AA13" s="148">
        <f t="shared" si="5"/>
        <v>6945205.4794520549</v>
      </c>
      <c r="AB13" s="142">
        <f t="shared" si="6"/>
        <v>46043</v>
      </c>
      <c r="AC13" s="142">
        <f t="shared" si="7"/>
        <v>46224</v>
      </c>
    </row>
    <row r="14" spans="1:44">
      <c r="A14" s="52">
        <v>12</v>
      </c>
      <c r="B14" s="33" t="s">
        <v>173</v>
      </c>
      <c r="C14" s="33" t="s">
        <v>111</v>
      </c>
      <c r="D14" s="1" t="s">
        <v>161</v>
      </c>
      <c r="E14" s="36" t="s">
        <v>171</v>
      </c>
      <c r="F14" s="36" t="s">
        <v>168</v>
      </c>
      <c r="G14" s="4">
        <v>44658</v>
      </c>
      <c r="H14" s="4">
        <v>51887</v>
      </c>
      <c r="I14" s="37">
        <v>0.13</v>
      </c>
      <c r="J14" s="37">
        <v>0.12550689000000001</v>
      </c>
      <c r="K14" s="28">
        <v>200000</v>
      </c>
      <c r="L14" s="29">
        <v>1000</v>
      </c>
      <c r="M14" s="31">
        <v>200000000</v>
      </c>
      <c r="N14" s="30">
        <v>1059.392817679558</v>
      </c>
      <c r="O14" s="38">
        <v>1032.0999999999999</v>
      </c>
      <c r="P14" s="29">
        <v>206419999.99999997</v>
      </c>
      <c r="Q14" s="29">
        <v>6419999.9999999702</v>
      </c>
      <c r="R14" s="38">
        <v>211878563.53999999</v>
      </c>
      <c r="S14" s="38"/>
      <c r="T14" s="29">
        <v>5458563.5400000215</v>
      </c>
      <c r="U14" s="146">
        <v>8</v>
      </c>
      <c r="V14" s="147">
        <f t="shared" si="0"/>
        <v>104000000</v>
      </c>
      <c r="W14" s="149">
        <f t="shared" si="1"/>
        <v>7052054.7945205476</v>
      </c>
      <c r="X14" s="143">
        <f t="shared" si="2"/>
        <v>0.12550689000000001</v>
      </c>
      <c r="Y14" s="51">
        <f t="shared" si="3"/>
        <v>31</v>
      </c>
      <c r="Z14" s="147">
        <f t="shared" si="4"/>
        <v>2208219.1780821919</v>
      </c>
      <c r="AA14" s="148">
        <f t="shared" si="5"/>
        <v>9260273.9726027399</v>
      </c>
      <c r="AB14" s="142">
        <f t="shared" si="6"/>
        <v>46043</v>
      </c>
      <c r="AC14" s="142">
        <f t="shared" si="7"/>
        <v>46224</v>
      </c>
    </row>
    <row r="15" spans="1:44">
      <c r="A15" s="52">
        <v>13</v>
      </c>
      <c r="B15" s="33" t="s">
        <v>174</v>
      </c>
      <c r="C15" s="33" t="s">
        <v>111</v>
      </c>
      <c r="D15" s="1" t="s">
        <v>161</v>
      </c>
      <c r="E15" s="36" t="s">
        <v>172</v>
      </c>
      <c r="F15" s="36" t="s">
        <v>168</v>
      </c>
      <c r="G15" s="4">
        <v>44685</v>
      </c>
      <c r="H15" s="4">
        <v>51887</v>
      </c>
      <c r="I15" s="37">
        <v>0.13</v>
      </c>
      <c r="J15" s="37">
        <v>0.1275</v>
      </c>
      <c r="K15" s="28">
        <v>150000</v>
      </c>
      <c r="L15" s="29">
        <v>1000</v>
      </c>
      <c r="M15" s="31">
        <v>150000000</v>
      </c>
      <c r="N15" s="29">
        <v>1054.3891503887785</v>
      </c>
      <c r="O15" s="29">
        <v>1017.4002001125353</v>
      </c>
      <c r="P15" s="29">
        <v>152610030.0168803</v>
      </c>
      <c r="Q15" s="29">
        <v>2610030.0168803036</v>
      </c>
      <c r="R15" s="38">
        <v>158158372.56</v>
      </c>
      <c r="S15" s="38"/>
      <c r="T15" s="29">
        <v>5548342.5431196988</v>
      </c>
      <c r="U15" s="146">
        <v>8</v>
      </c>
      <c r="V15" s="147">
        <f t="shared" si="0"/>
        <v>78000000</v>
      </c>
      <c r="W15" s="149">
        <f t="shared" si="1"/>
        <v>5289041.0958904112</v>
      </c>
      <c r="X15" s="143">
        <f t="shared" si="2"/>
        <v>0.1275</v>
      </c>
      <c r="Y15" s="51">
        <f t="shared" si="3"/>
        <v>31</v>
      </c>
      <c r="Z15" s="147">
        <f t="shared" si="4"/>
        <v>1656164.3835616438</v>
      </c>
      <c r="AA15" s="148">
        <f t="shared" si="5"/>
        <v>6945205.4794520549</v>
      </c>
      <c r="AB15" s="142">
        <f t="shared" si="6"/>
        <v>46043</v>
      </c>
      <c r="AC15" s="142">
        <f>EDATE(H15,-6*INT(DATEDIF($AO$1,H15,"m")/6))</f>
        <v>46224</v>
      </c>
    </row>
    <row r="16" spans="1:44">
      <c r="A16" s="52">
        <v>14</v>
      </c>
      <c r="B16" s="33" t="s">
        <v>175</v>
      </c>
      <c r="C16" s="33" t="s">
        <v>111</v>
      </c>
      <c r="D16" s="1" t="s">
        <v>161</v>
      </c>
      <c r="E16" s="36" t="s">
        <v>173</v>
      </c>
      <c r="F16" s="36" t="s">
        <v>168</v>
      </c>
      <c r="G16" s="4">
        <v>44701</v>
      </c>
      <c r="H16" s="4">
        <v>51887</v>
      </c>
      <c r="I16" s="37">
        <v>0.13</v>
      </c>
      <c r="J16" s="37">
        <v>0.1285</v>
      </c>
      <c r="K16" s="28">
        <v>150000</v>
      </c>
      <c r="L16" s="29">
        <v>1000</v>
      </c>
      <c r="M16" s="31">
        <v>150000000</v>
      </c>
      <c r="N16" s="30">
        <v>1052.9432856216013</v>
      </c>
      <c r="O16" s="30">
        <v>1010.2084789917669</v>
      </c>
      <c r="P16" s="29">
        <v>151531271.84876505</v>
      </c>
      <c r="Q16" s="29">
        <v>1531271.8487650454</v>
      </c>
      <c r="R16" s="38">
        <v>157941492.84</v>
      </c>
      <c r="S16" s="38"/>
      <c r="T16" s="29">
        <v>6410220.9912349582</v>
      </c>
      <c r="U16" s="146">
        <v>8</v>
      </c>
      <c r="V16" s="147">
        <f t="shared" si="0"/>
        <v>78000000</v>
      </c>
      <c r="W16" s="149">
        <f t="shared" si="1"/>
        <v>5289041.0958904112</v>
      </c>
      <c r="X16" s="143">
        <f t="shared" si="2"/>
        <v>0.1285</v>
      </c>
      <c r="Y16" s="51">
        <f t="shared" si="3"/>
        <v>31</v>
      </c>
      <c r="Z16" s="147">
        <f t="shared" si="4"/>
        <v>1656164.3835616438</v>
      </c>
      <c r="AA16" s="148">
        <f t="shared" si="5"/>
        <v>6945205.4794520549</v>
      </c>
      <c r="AB16" s="142">
        <f t="shared" si="6"/>
        <v>46043</v>
      </c>
      <c r="AC16" s="142">
        <f>EDATE(H16,-6*INT(DATEDIF($AO$1,H16,"m")/6))</f>
        <v>46224</v>
      </c>
    </row>
    <row r="17" spans="1:29">
      <c r="A17" s="52">
        <v>15</v>
      </c>
      <c r="B17" s="33" t="s">
        <v>176</v>
      </c>
      <c r="C17" s="33" t="s">
        <v>111</v>
      </c>
      <c r="D17" s="1" t="s">
        <v>161</v>
      </c>
      <c r="E17" s="36" t="s">
        <v>174</v>
      </c>
      <c r="F17" s="36" t="s">
        <v>168</v>
      </c>
      <c r="G17" s="4">
        <v>44704</v>
      </c>
      <c r="H17" s="4">
        <v>51887</v>
      </c>
      <c r="I17" s="37">
        <v>0.13</v>
      </c>
      <c r="J17" s="37">
        <v>0.1285</v>
      </c>
      <c r="K17" s="28">
        <v>150000</v>
      </c>
      <c r="L17" s="29">
        <v>1000</v>
      </c>
      <c r="M17" s="31">
        <v>150000000</v>
      </c>
      <c r="N17" s="29">
        <v>1054.0305945014204</v>
      </c>
      <c r="O17" s="30">
        <v>1010.2184398052877</v>
      </c>
      <c r="P17" s="29">
        <v>151532765.97079316</v>
      </c>
      <c r="Q17" s="29">
        <v>1532765.9707931578</v>
      </c>
      <c r="R17" s="38">
        <v>158104589.16999999</v>
      </c>
      <c r="S17" s="38"/>
      <c r="T17" s="29">
        <v>6571823.1992068291</v>
      </c>
      <c r="U17" s="146">
        <v>8</v>
      </c>
      <c r="V17" s="147">
        <f t="shared" si="0"/>
        <v>78000000</v>
      </c>
      <c r="W17" s="149">
        <f t="shared" si="1"/>
        <v>5289041.0958904112</v>
      </c>
      <c r="X17" s="143">
        <f t="shared" si="2"/>
        <v>0.1285</v>
      </c>
      <c r="Y17" s="51">
        <f t="shared" si="3"/>
        <v>31</v>
      </c>
      <c r="Z17" s="147">
        <f t="shared" si="4"/>
        <v>1656164.3835616438</v>
      </c>
      <c r="AA17" s="148">
        <f t="shared" si="5"/>
        <v>6945205.4794520549</v>
      </c>
      <c r="AB17" s="142">
        <f t="shared" si="6"/>
        <v>46043</v>
      </c>
      <c r="AC17" s="142">
        <f>EDATE(H17,-6*INT(DATEDIF($AO$1,H17,"m")/6))</f>
        <v>46224</v>
      </c>
    </row>
    <row r="18" spans="1:29">
      <c r="AB18" s="142"/>
      <c r="AC18" s="142"/>
    </row>
  </sheetData>
  <mergeCells count="1">
    <mergeCell ref="C1:AL1"/>
  </mergeCells>
  <phoneticPr fontId="1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4B21-C173-4F8A-80F8-0B2D1DC6AA69}">
  <dimension ref="A1:AF17"/>
  <sheetViews>
    <sheetView topLeftCell="K1" workbookViewId="0">
      <selection activeCell="T3" sqref="T3"/>
    </sheetView>
  </sheetViews>
  <sheetFormatPr defaultColWidth="9.109375" defaultRowHeight="13.8"/>
  <cols>
    <col min="1" max="1" width="6.109375" style="61" bestFit="1" customWidth="1"/>
    <col min="2" max="2" width="16.5546875" style="61" customWidth="1"/>
    <col min="3" max="3" width="41.6640625" style="61" bestFit="1" customWidth="1"/>
    <col min="4" max="4" width="11.33203125" style="61" bestFit="1" customWidth="1"/>
    <col min="5" max="5" width="48.88671875" style="61" customWidth="1"/>
    <col min="6" max="6" width="12.88671875" style="61" bestFit="1" customWidth="1"/>
    <col min="7" max="7" width="15.109375" style="61" bestFit="1" customWidth="1"/>
    <col min="8" max="9" width="9.109375" style="61"/>
    <col min="10" max="10" width="10.109375" style="61" bestFit="1" customWidth="1"/>
    <col min="11" max="11" width="10.44140625" style="61" bestFit="1" customWidth="1"/>
    <col min="12" max="12" width="18.6640625" style="61" bestFit="1" customWidth="1"/>
    <col min="13" max="14" width="10.44140625" style="61" bestFit="1" customWidth="1"/>
    <col min="15" max="16" width="18.6640625" style="61" bestFit="1" customWidth="1"/>
    <col min="17" max="17" width="18.6640625" style="145" customWidth="1"/>
    <col min="18" max="18" width="20.88671875" style="63" customWidth="1"/>
    <col min="19" max="19" width="15" style="63" bestFit="1" customWidth="1"/>
    <col min="20" max="21" width="14" style="63" bestFit="1" customWidth="1"/>
    <col min="22" max="22" width="15" style="63" bestFit="1" customWidth="1"/>
    <col min="23" max="24" width="10.6640625" style="63" bestFit="1" customWidth="1"/>
    <col min="25" max="25" width="9.109375" style="63"/>
    <col min="26" max="28" width="9.109375" style="61"/>
    <col min="29" max="29" width="10.6640625" style="61" bestFit="1" customWidth="1"/>
    <col min="30" max="31" width="9.109375" style="61"/>
    <col min="32" max="32" width="10.6640625" style="61" bestFit="1" customWidth="1"/>
    <col min="33" max="16384" width="9.109375" style="61"/>
  </cols>
  <sheetData>
    <row r="1" spans="1:32" s="75" customFormat="1" ht="12.6">
      <c r="C1" s="154" t="s">
        <v>177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AB1" s="75" t="s">
        <v>224</v>
      </c>
      <c r="AC1" s="138">
        <v>46173</v>
      </c>
      <c r="AE1" s="75" t="s">
        <v>219</v>
      </c>
      <c r="AF1" s="138">
        <v>46142</v>
      </c>
    </row>
    <row r="2" spans="1:32" ht="50.4">
      <c r="A2" s="41" t="s">
        <v>1</v>
      </c>
      <c r="B2" s="41" t="s">
        <v>2</v>
      </c>
      <c r="C2" s="24" t="s">
        <v>26</v>
      </c>
      <c r="D2" s="24" t="s">
        <v>27</v>
      </c>
      <c r="E2" s="24" t="s">
        <v>178</v>
      </c>
      <c r="F2" s="54" t="s">
        <v>30</v>
      </c>
      <c r="G2" s="26" t="s">
        <v>31</v>
      </c>
      <c r="H2" s="55" t="s">
        <v>179</v>
      </c>
      <c r="I2" s="55" t="s">
        <v>180</v>
      </c>
      <c r="J2" s="55" t="s">
        <v>181</v>
      </c>
      <c r="K2" s="55" t="s">
        <v>182</v>
      </c>
      <c r="L2" s="55" t="s">
        <v>183</v>
      </c>
      <c r="M2" s="55" t="s">
        <v>184</v>
      </c>
      <c r="N2" s="55" t="s">
        <v>185</v>
      </c>
      <c r="O2" s="55" t="s">
        <v>186</v>
      </c>
      <c r="P2" s="40" t="s">
        <v>187</v>
      </c>
      <c r="Q2" s="144" t="s">
        <v>226</v>
      </c>
      <c r="R2" s="56" t="s">
        <v>188</v>
      </c>
      <c r="S2" s="56" t="s">
        <v>189</v>
      </c>
      <c r="T2" s="56" t="s">
        <v>190</v>
      </c>
      <c r="U2" s="56" t="s">
        <v>191</v>
      </c>
      <c r="V2" s="57" t="s">
        <v>192</v>
      </c>
      <c r="W2" s="58" t="s">
        <v>193</v>
      </c>
      <c r="X2" s="59" t="s">
        <v>143</v>
      </c>
      <c r="Y2" s="60" t="s">
        <v>194</v>
      </c>
    </row>
    <row r="3" spans="1:32" ht="13.2">
      <c r="A3" s="53">
        <v>1</v>
      </c>
      <c r="B3" s="1" t="s">
        <v>195</v>
      </c>
      <c r="C3" s="1" t="s">
        <v>196</v>
      </c>
      <c r="D3" s="61" t="s">
        <v>87</v>
      </c>
      <c r="E3" s="62" t="s">
        <v>197</v>
      </c>
      <c r="F3" s="4">
        <v>44818</v>
      </c>
      <c r="G3" s="4">
        <v>46644</v>
      </c>
      <c r="H3" s="5">
        <v>0.15</v>
      </c>
      <c r="I3" s="5">
        <v>0.15</v>
      </c>
      <c r="J3" s="28">
        <v>1000000</v>
      </c>
      <c r="K3" s="6">
        <v>1000</v>
      </c>
      <c r="L3" s="6">
        <v>1000000000</v>
      </c>
      <c r="M3" s="6">
        <v>1000</v>
      </c>
      <c r="N3" s="6">
        <v>1000</v>
      </c>
      <c r="O3" s="6">
        <v>1000000000</v>
      </c>
      <c r="P3" s="6">
        <v>1000000000</v>
      </c>
      <c r="Q3" s="146">
        <v>7</v>
      </c>
      <c r="R3" s="152">
        <f>S3*0.9</f>
        <v>472500000</v>
      </c>
      <c r="S3" s="151">
        <f>L3*H3/2*Q3</f>
        <v>525000000</v>
      </c>
      <c r="T3" s="153">
        <f>L3*H3*($AF$1-W3)/365</f>
        <v>19315068.493150685</v>
      </c>
      <c r="U3" s="153">
        <f>(MAX(0,MIN($AC$1,G3)-MAX($AF$1,F3,W3))/365)*L3*H3</f>
        <v>12739726.027397258</v>
      </c>
      <c r="V3" s="153">
        <f>U3+T3</f>
        <v>32054794.520547941</v>
      </c>
      <c r="W3" s="150">
        <f>EDATE(X3,-6)</f>
        <v>46095</v>
      </c>
      <c r="X3" s="150">
        <f>EDATE(G3,-6*INT(DATEDIF($AC$1,G3,"m")/6))</f>
        <v>46279</v>
      </c>
    </row>
    <row r="4" spans="1:32" ht="13.2">
      <c r="A4" s="53">
        <v>2</v>
      </c>
      <c r="B4" s="1" t="s">
        <v>198</v>
      </c>
      <c r="C4" s="1" t="s">
        <v>196</v>
      </c>
      <c r="D4" s="61" t="s">
        <v>87</v>
      </c>
      <c r="E4" s="62" t="s">
        <v>197</v>
      </c>
      <c r="F4" s="4">
        <v>44818</v>
      </c>
      <c r="G4" s="4">
        <v>46644</v>
      </c>
      <c r="H4" s="5">
        <v>0.15</v>
      </c>
      <c r="I4" s="5">
        <v>0.15</v>
      </c>
      <c r="J4" s="64">
        <v>100000</v>
      </c>
      <c r="K4" s="6">
        <v>1000</v>
      </c>
      <c r="L4" s="6">
        <v>100000000</v>
      </c>
      <c r="M4" s="6">
        <v>1000</v>
      </c>
      <c r="N4" s="6">
        <v>1000</v>
      </c>
      <c r="O4" s="6">
        <v>100000000</v>
      </c>
      <c r="P4" s="6">
        <v>100000000</v>
      </c>
      <c r="Q4" s="146">
        <v>7</v>
      </c>
      <c r="R4" s="152">
        <f t="shared" ref="R4:R6" si="0">S4*0.9</f>
        <v>47250000</v>
      </c>
      <c r="S4" s="151">
        <f t="shared" ref="S4:S6" si="1">L4*H4/2*Q4</f>
        <v>52500000</v>
      </c>
      <c r="T4" s="153">
        <f t="shared" ref="T4:T6" si="2">L4*H4*($AF$1-W4)/365</f>
        <v>1931506.8493150685</v>
      </c>
      <c r="U4" s="153">
        <f t="shared" ref="U4:U6" si="3">(MAX(0,MIN($AC$1,G4)-MAX($AF$1,F4,W4))/365)*L4*H4</f>
        <v>1273972.602739726</v>
      </c>
      <c r="V4" s="153">
        <f t="shared" ref="V4:V6" si="4">U4+T4</f>
        <v>3205479.4520547944</v>
      </c>
      <c r="W4" s="150">
        <f t="shared" ref="W4:W6" si="5">EDATE(X4,-6)</f>
        <v>46095</v>
      </c>
      <c r="X4" s="150">
        <f>EDATE(G4,-6*INT(DATEDIF($AC$1,G4,"m")/6))</f>
        <v>46279</v>
      </c>
    </row>
    <row r="5" spans="1:32" ht="13.2">
      <c r="A5" s="53">
        <v>3</v>
      </c>
      <c r="B5" s="1" t="s">
        <v>199</v>
      </c>
      <c r="C5" s="1" t="s">
        <v>196</v>
      </c>
      <c r="D5" s="61" t="s">
        <v>87</v>
      </c>
      <c r="E5" s="62" t="s">
        <v>197</v>
      </c>
      <c r="F5" s="4">
        <v>44818</v>
      </c>
      <c r="G5" s="4">
        <v>46644</v>
      </c>
      <c r="H5" s="5">
        <v>0.15</v>
      </c>
      <c r="I5" s="5">
        <v>0.15</v>
      </c>
      <c r="J5" s="64">
        <v>50000</v>
      </c>
      <c r="K5" s="6">
        <v>1000</v>
      </c>
      <c r="L5" s="6">
        <v>50000000</v>
      </c>
      <c r="M5" s="6">
        <v>1000</v>
      </c>
      <c r="N5" s="6">
        <v>1000</v>
      </c>
      <c r="O5" s="6">
        <v>50000000</v>
      </c>
      <c r="P5" s="6">
        <v>50000000</v>
      </c>
      <c r="Q5" s="146">
        <v>7</v>
      </c>
      <c r="R5" s="152">
        <f t="shared" si="0"/>
        <v>23625000</v>
      </c>
      <c r="S5" s="151">
        <f t="shared" si="1"/>
        <v>26250000</v>
      </c>
      <c r="T5" s="153">
        <f t="shared" si="2"/>
        <v>965753.42465753423</v>
      </c>
      <c r="U5" s="153">
        <f t="shared" si="3"/>
        <v>636986.30136986298</v>
      </c>
      <c r="V5" s="153">
        <f t="shared" si="4"/>
        <v>1602739.7260273972</v>
      </c>
      <c r="W5" s="150">
        <f t="shared" si="5"/>
        <v>46095</v>
      </c>
      <c r="X5" s="150">
        <f>EDATE(G5,-6*INT(DATEDIF($AC$1,G5,"m")/6))</f>
        <v>46279</v>
      </c>
    </row>
    <row r="6" spans="1:32" ht="26.4">
      <c r="A6" s="53">
        <v>4</v>
      </c>
      <c r="B6" s="1" t="s">
        <v>200</v>
      </c>
      <c r="C6" s="61" t="s">
        <v>196</v>
      </c>
      <c r="D6" s="61" t="s">
        <v>87</v>
      </c>
      <c r="E6" s="65" t="s">
        <v>201</v>
      </c>
      <c r="F6" s="66">
        <v>44834</v>
      </c>
      <c r="G6" s="66">
        <v>46295</v>
      </c>
      <c r="H6" s="67">
        <v>0.13500000000000001</v>
      </c>
      <c r="I6" s="67">
        <v>0.13500000000000001</v>
      </c>
      <c r="J6" s="68">
        <v>100000</v>
      </c>
      <c r="K6" s="69">
        <v>1000</v>
      </c>
      <c r="L6" s="69">
        <v>100000000</v>
      </c>
      <c r="M6" s="69">
        <v>1000</v>
      </c>
      <c r="N6" s="69">
        <v>1000</v>
      </c>
      <c r="O6" s="69">
        <v>100000000</v>
      </c>
      <c r="P6" s="69">
        <v>100000000</v>
      </c>
      <c r="Q6" s="146">
        <v>7</v>
      </c>
      <c r="R6" s="152">
        <f t="shared" si="0"/>
        <v>42525000</v>
      </c>
      <c r="S6" s="151">
        <f t="shared" si="1"/>
        <v>47250000</v>
      </c>
      <c r="T6" s="153">
        <f t="shared" si="2"/>
        <v>1146575.3424657534</v>
      </c>
      <c r="U6" s="153">
        <f t="shared" si="3"/>
        <v>1146575.3424657537</v>
      </c>
      <c r="V6" s="153">
        <f t="shared" si="4"/>
        <v>2293150.6849315073</v>
      </c>
      <c r="W6" s="150">
        <f t="shared" si="5"/>
        <v>46111</v>
      </c>
      <c r="X6" s="150">
        <f>EDATE(G6,-6*INT(DATEDIF($AC$1,G6,"m")/6))</f>
        <v>46295</v>
      </c>
    </row>
    <row r="7" spans="1:32" ht="13.2">
      <c r="Q7" s="146"/>
    </row>
    <row r="8" spans="1:32" ht="13.2">
      <c r="Q8" s="146"/>
    </row>
    <row r="9" spans="1:32" ht="13.2">
      <c r="Q9" s="146"/>
    </row>
    <row r="10" spans="1:32" ht="13.2">
      <c r="Q10" s="146"/>
    </row>
    <row r="11" spans="1:32" ht="13.2">
      <c r="Q11" s="146"/>
    </row>
    <row r="12" spans="1:32" ht="13.2">
      <c r="Q12" s="146"/>
    </row>
    <row r="13" spans="1:32" ht="13.2">
      <c r="Q13" s="146"/>
    </row>
    <row r="14" spans="1:32" ht="13.2">
      <c r="Q14" s="146"/>
    </row>
    <row r="15" spans="1:32" ht="13.2">
      <c r="Q15" s="146"/>
    </row>
    <row r="16" spans="1:32" ht="13.2">
      <c r="Q16" s="146"/>
    </row>
    <row r="17" spans="17:17" ht="13.2">
      <c r="Q17" s="146"/>
    </row>
  </sheetData>
  <mergeCells count="1">
    <mergeCell ref="C1:Y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DF84-7573-4B44-B43B-F83B180E81A4}">
  <dimension ref="A1:AK17"/>
  <sheetViews>
    <sheetView workbookViewId="0">
      <selection activeCell="W4" sqref="W4"/>
    </sheetView>
  </sheetViews>
  <sheetFormatPr defaultColWidth="9.109375" defaultRowHeight="13.8"/>
  <cols>
    <col min="1" max="4" width="9.109375" style="61"/>
    <col min="5" max="5" width="27" style="61" bestFit="1" customWidth="1"/>
    <col min="6" max="7" width="9.88671875" style="61" bestFit="1" customWidth="1"/>
    <col min="8" max="10" width="9.33203125" style="61" bestFit="1" customWidth="1"/>
    <col min="11" max="11" width="9.44140625" style="61" bestFit="1" customWidth="1"/>
    <col min="12" max="12" width="14.109375" style="61" bestFit="1" customWidth="1"/>
    <col min="13" max="14" width="9.44140625" style="61" bestFit="1" customWidth="1"/>
    <col min="15" max="16" width="14.109375" style="61" bestFit="1" customWidth="1"/>
    <col min="17" max="17" width="13.109375" style="61" bestFit="1" customWidth="1"/>
    <col min="18" max="18" width="13.109375" style="145" customWidth="1"/>
    <col min="19" max="19" width="18.6640625" style="63" bestFit="1" customWidth="1"/>
    <col min="20" max="20" width="14" style="63" bestFit="1" customWidth="1"/>
    <col min="21" max="21" width="12" style="63" customWidth="1"/>
    <col min="22" max="22" width="13" style="63" customWidth="1"/>
    <col min="23" max="23" width="12.88671875" style="63" bestFit="1" customWidth="1"/>
    <col min="24" max="24" width="15.88671875" style="63" customWidth="1"/>
    <col min="25" max="25" width="11" style="63" customWidth="1"/>
    <col min="26" max="26" width="13.33203125" style="63" customWidth="1"/>
    <col min="27" max="27" width="13.88671875" style="63" customWidth="1"/>
    <col min="28" max="29" width="10.6640625" style="63" bestFit="1" customWidth="1"/>
    <col min="30" max="30" width="9.109375" style="63"/>
    <col min="31" max="33" width="9.109375" style="61"/>
    <col min="34" max="34" width="10.6640625" style="61" bestFit="1" customWidth="1"/>
    <col min="35" max="36" width="9.109375" style="61"/>
    <col min="37" max="37" width="10.6640625" style="61" bestFit="1" customWidth="1"/>
    <col min="38" max="16384" width="9.109375" style="61"/>
  </cols>
  <sheetData>
    <row r="1" spans="1:37" s="75" customFormat="1" ht="12.6">
      <c r="C1" s="154" t="s">
        <v>202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AG1" s="75" t="s">
        <v>224</v>
      </c>
      <c r="AH1" s="138">
        <v>46173</v>
      </c>
      <c r="AJ1" s="75" t="s">
        <v>219</v>
      </c>
      <c r="AK1" s="138">
        <v>46142</v>
      </c>
    </row>
    <row r="2" spans="1:37" ht="55.5" customHeight="1">
      <c r="A2" s="76" t="s">
        <v>1</v>
      </c>
      <c r="B2" s="76" t="s">
        <v>120</v>
      </c>
      <c r="C2" s="41" t="s">
        <v>203</v>
      </c>
      <c r="D2" s="41" t="s">
        <v>204</v>
      </c>
      <c r="E2" s="41" t="s">
        <v>178</v>
      </c>
      <c r="F2" s="77" t="s">
        <v>30</v>
      </c>
      <c r="G2" s="40" t="s">
        <v>31</v>
      </c>
      <c r="H2" s="55" t="s">
        <v>179</v>
      </c>
      <c r="I2" s="55" t="s">
        <v>180</v>
      </c>
      <c r="J2" s="55" t="s">
        <v>181</v>
      </c>
      <c r="K2" s="55" t="s">
        <v>182</v>
      </c>
      <c r="L2" s="55" t="s">
        <v>183</v>
      </c>
      <c r="M2" s="55" t="s">
        <v>184</v>
      </c>
      <c r="N2" s="55" t="s">
        <v>185</v>
      </c>
      <c r="O2" s="55" t="s">
        <v>186</v>
      </c>
      <c r="P2" s="40" t="s">
        <v>187</v>
      </c>
      <c r="Q2" s="78" t="s">
        <v>205</v>
      </c>
      <c r="R2" s="144" t="s">
        <v>226</v>
      </c>
      <c r="S2" s="56" t="s">
        <v>206</v>
      </c>
      <c r="T2" s="56" t="s">
        <v>207</v>
      </c>
      <c r="U2" s="56" t="s">
        <v>208</v>
      </c>
      <c r="V2" s="56" t="s">
        <v>190</v>
      </c>
      <c r="W2" s="56" t="s">
        <v>191</v>
      </c>
      <c r="X2" s="56" t="s">
        <v>209</v>
      </c>
      <c r="Y2" s="56" t="s">
        <v>210</v>
      </c>
      <c r="Z2" s="56" t="s">
        <v>211</v>
      </c>
      <c r="AA2" s="57" t="s">
        <v>192</v>
      </c>
      <c r="AB2" s="57" t="s">
        <v>193</v>
      </c>
      <c r="AC2" s="57" t="s">
        <v>143</v>
      </c>
      <c r="AD2" s="57" t="s">
        <v>194</v>
      </c>
    </row>
    <row r="3" spans="1:37" ht="13.2">
      <c r="B3" s="25"/>
      <c r="C3" s="25"/>
      <c r="D3" s="25"/>
      <c r="F3" s="4"/>
      <c r="G3" s="4"/>
      <c r="H3" s="67"/>
      <c r="I3" s="67"/>
      <c r="J3" s="28"/>
      <c r="K3" s="6"/>
      <c r="L3" s="6"/>
      <c r="M3" s="6"/>
      <c r="N3" s="6"/>
      <c r="O3" s="6"/>
      <c r="P3" s="6"/>
      <c r="Q3" s="6"/>
      <c r="R3" s="146"/>
      <c r="W3" s="153"/>
    </row>
    <row r="4" spans="1:37" ht="13.2">
      <c r="A4" s="53">
        <v>1</v>
      </c>
      <c r="B4" s="61" t="s">
        <v>212</v>
      </c>
      <c r="C4" s="1" t="s">
        <v>213</v>
      </c>
      <c r="D4" s="61" t="s">
        <v>113</v>
      </c>
      <c r="E4" s="61" t="s">
        <v>214</v>
      </c>
      <c r="F4" s="4">
        <v>45069</v>
      </c>
      <c r="G4" s="4">
        <v>48722</v>
      </c>
      <c r="H4" s="5">
        <v>0.1525</v>
      </c>
      <c r="I4" s="5">
        <v>0.1525</v>
      </c>
      <c r="J4" s="28">
        <v>87360.697469999999</v>
      </c>
      <c r="K4" s="6">
        <v>1000</v>
      </c>
      <c r="L4" s="6">
        <v>87360697.469999999</v>
      </c>
      <c r="M4" s="6">
        <v>1000</v>
      </c>
      <c r="N4" s="6">
        <v>1000</v>
      </c>
      <c r="O4" s="6">
        <v>87360697.469999999</v>
      </c>
      <c r="P4" s="6">
        <v>87360697.469999999</v>
      </c>
      <c r="Q4" s="6">
        <v>6642302.5300000003</v>
      </c>
      <c r="R4" s="146">
        <v>7</v>
      </c>
      <c r="S4" s="151">
        <f>L4*H4/2*R4</f>
        <v>46628772.274612501</v>
      </c>
      <c r="T4" s="153">
        <f>S4*0.9</f>
        <v>41965895.047151253</v>
      </c>
      <c r="V4" s="153">
        <f>IF(MONTH($AH$1)=MONTH($AB$4),L4*H4*($AK$1-EDATE(AB4,-6))/365,L4*H4*($AK$1-AB4)/365)</f>
        <v>5767002.7549031507</v>
      </c>
      <c r="W4" s="153">
        <f>X4+AA4-V4</f>
        <v>1186250.5666731158</v>
      </c>
      <c r="X4" s="153">
        <f>L4*H4/2</f>
        <v>6661253.1820874996</v>
      </c>
      <c r="Y4" s="153">
        <f>X4*0.1</f>
        <v>666125.31820874999</v>
      </c>
      <c r="Z4" s="153">
        <f>X4-Y4</f>
        <v>5995127.8638787493</v>
      </c>
      <c r="AA4" s="153">
        <f>L4*H4*MAX(0,$AH$1-AB4)/365</f>
        <v>292000.13948876713</v>
      </c>
      <c r="AB4" s="150">
        <f>EDATE(AC4,-6)</f>
        <v>46165</v>
      </c>
      <c r="AC4" s="150">
        <f>EDATE(G4,-6*INT(DATEDIF($AH$1,G4,"m")/6))</f>
        <v>46349</v>
      </c>
    </row>
    <row r="5" spans="1:37" ht="13.2">
      <c r="R5" s="146"/>
    </row>
    <row r="6" spans="1:37" ht="13.2">
      <c r="R6" s="146"/>
    </row>
    <row r="7" spans="1:37" ht="13.2">
      <c r="R7" s="146"/>
    </row>
    <row r="8" spans="1:37" ht="13.2">
      <c r="R8" s="146"/>
    </row>
    <row r="9" spans="1:37" ht="13.2">
      <c r="R9" s="146"/>
    </row>
    <row r="10" spans="1:37" ht="13.2">
      <c r="R10" s="146"/>
    </row>
    <row r="11" spans="1:37" ht="13.2">
      <c r="R11" s="146"/>
    </row>
    <row r="12" spans="1:37" ht="13.2">
      <c r="R12" s="146"/>
    </row>
    <row r="13" spans="1:37" ht="13.2">
      <c r="R13" s="146"/>
    </row>
    <row r="14" spans="1:37" ht="13.2">
      <c r="R14" s="146"/>
    </row>
    <row r="15" spans="1:37" ht="13.2">
      <c r="R15" s="146"/>
    </row>
    <row r="16" spans="1:37" ht="13.2">
      <c r="R16" s="146"/>
    </row>
    <row r="17" spans="18:18" ht="13.2">
      <c r="R17" s="146"/>
    </row>
  </sheetData>
  <mergeCells count="1">
    <mergeCell ref="C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bba850-fe67-4689-b0be-6f5917c73b65}" enabled="1" method="Privileged" siteId="{df7531f6-aa62-4031-bf35-e67d299b0e91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PLACEMENT LESS THAN 90DAYS</vt:lpstr>
      <vt:lpstr>TREASURY BILLS</vt:lpstr>
      <vt:lpstr>PLACEMENTS USD</vt:lpstr>
      <vt:lpstr>QUOTED EQUITY</vt:lpstr>
      <vt:lpstr>FGN BONDS</vt:lpstr>
      <vt:lpstr>CORPORATE BOND</vt:lpstr>
      <vt:lpstr>STATE BOND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Olajumoke Abiola</dc:creator>
  <cp:keywords/>
  <dc:description/>
  <cp:lastModifiedBy>Ezemiwe, Paul</cp:lastModifiedBy>
  <cp:revision/>
  <dcterms:created xsi:type="dcterms:W3CDTF">2026-06-15T13:18:24Z</dcterms:created>
  <dcterms:modified xsi:type="dcterms:W3CDTF">2026-07-22T01:58:33Z</dcterms:modified>
  <cp:category/>
  <cp:contentStatus/>
</cp:coreProperties>
</file>